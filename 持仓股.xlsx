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一看就涨\"/>
    </mc:Choice>
  </mc:AlternateContent>
  <xr:revisionPtr revIDLastSave="0" documentId="13_ncr:1_{5FCBA766-A1D8-4FAD-8F09-B6FD0A097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4" i="1"/>
  <c r="G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3" i="1"/>
  <c r="C3" i="1"/>
  <c r="D3" i="1"/>
  <c r="E3" i="1"/>
  <c r="F3" i="1"/>
</calcChain>
</file>

<file path=xl/sharedStrings.xml><?xml version="1.0" encoding="utf-8"?>
<sst xmlns="http://schemas.openxmlformats.org/spreadsheetml/2006/main" count="66" uniqueCount="66">
  <si>
    <t>代码</t>
  </si>
  <si>
    <t>002475.SZ</t>
  </si>
  <si>
    <t>002384.SZ</t>
  </si>
  <si>
    <t>600459.SH</t>
  </si>
  <si>
    <t>000988.SZ</t>
  </si>
  <si>
    <t>600487.SH</t>
  </si>
  <si>
    <t>简称</t>
  </si>
  <si>
    <t>立讯精密</t>
  </si>
  <si>
    <t>东山精密</t>
  </si>
  <si>
    <t>贵研铂业</t>
  </si>
  <si>
    <t>华工科技</t>
  </si>
  <si>
    <t>亨通光电</t>
  </si>
  <si>
    <t>日期</t>
  </si>
  <si>
    <t>时间</t>
  </si>
  <si>
    <t>前收</t>
  </si>
  <si>
    <t>今开</t>
  </si>
  <si>
    <t>最高</t>
  </si>
  <si>
    <t>现价</t>
  </si>
  <si>
    <t>现额</t>
  </si>
  <si>
    <t>现量</t>
  </si>
  <si>
    <t>最新成交价</t>
  </si>
  <si>
    <t>成交量</t>
  </si>
  <si>
    <t>成交额</t>
  </si>
  <si>
    <t>涨跌</t>
  </si>
  <si>
    <t>涨跌幅</t>
  </si>
  <si>
    <t>成交笔数</t>
  </si>
  <si>
    <t>振幅</t>
  </si>
  <si>
    <t>1分钟涨跌幅</t>
  </si>
  <si>
    <t>3分钟涨跌幅</t>
  </si>
  <si>
    <t>5分钟涨跌幅</t>
  </si>
  <si>
    <t>5日涨跌幅</t>
  </si>
  <si>
    <t>竞价涨跌幅</t>
  </si>
  <si>
    <t>当日净流入率</t>
  </si>
  <si>
    <t>5日净流入率</t>
  </si>
  <si>
    <t>10日净流入率</t>
  </si>
  <si>
    <t>委买总量</t>
  </si>
  <si>
    <t>委卖总量</t>
  </si>
  <si>
    <t>当日净流入额</t>
  </si>
  <si>
    <t>5日净流入额</t>
  </si>
  <si>
    <t>当日机构大户净流入占比</t>
  </si>
  <si>
    <t>当日机构买入成交量</t>
  </si>
  <si>
    <t>当日机构卖出成交量</t>
  </si>
  <si>
    <t>当日大户买入成交量</t>
  </si>
  <si>
    <t>当日大户卖出成交量</t>
  </si>
  <si>
    <t>当日中户买入成交量</t>
  </si>
  <si>
    <t>当日中户卖出成交量</t>
  </si>
  <si>
    <t>当日散户买入成交量</t>
  </si>
  <si>
    <t>当日散户卖出成交量</t>
  </si>
  <si>
    <t>当日大户净买入成交量</t>
  </si>
  <si>
    <t>当日中户净买入成交量</t>
  </si>
  <si>
    <t>当日散户净买入成交量</t>
  </si>
  <si>
    <t>机构资金净流入</t>
  </si>
  <si>
    <t>大户资金净流入</t>
  </si>
  <si>
    <t>中户资金净流入</t>
  </si>
  <si>
    <t>散户资金净流入</t>
  </si>
  <si>
    <t>当日机构买入成交额</t>
  </si>
  <si>
    <t>当日机构卖出成交额</t>
  </si>
  <si>
    <t>机构主买入金额</t>
  </si>
  <si>
    <t>大户主买入金额</t>
  </si>
  <si>
    <t>资金主动净流入量</t>
  </si>
  <si>
    <t>603211.SH</t>
    <phoneticPr fontId="1" type="noConversion"/>
  </si>
  <si>
    <t>晋拓股份</t>
    <phoneticPr fontId="1" type="noConversion"/>
  </si>
  <si>
    <t>有研新材</t>
    <phoneticPr fontId="1" type="noConversion"/>
  </si>
  <si>
    <t>600206.SH</t>
    <phoneticPr fontId="1" type="noConversion"/>
  </si>
  <si>
    <t>风华高科</t>
    <phoneticPr fontId="1" type="noConversion"/>
  </si>
  <si>
    <t>000636.SZ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</si>
</sst>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0.14419999999999999</v>
        <stp/>
        <stp>603211.SH</stp>
        <stp>rt_pct_chg_5d</stp>
        <stp>RT_Price</stp>
        <tr r="G21" s="1"/>
      </tp>
      <tp>
        <v>1463156233</v>
        <stp/>
        <stp>002475.SZ</stp>
        <stp>rt_vip_activebuy_amt</stp>
        <stp>RT_Price</stp>
        <tr r="B49" s="1"/>
      </tp>
      <tp>
        <v>0.30360000000000004</v>
        <stp/>
        <stp>000636.SZ</stp>
        <stp>rt_insti_vip_netinflow_ratio</stp>
        <stp>RT_Price</stp>
        <tr r="I30" s="1"/>
      </tp>
      <tp>
        <v>69.36</v>
        <stp/>
        <stp>002475.SZ</stp>
        <stp>rt_pre_close</stp>
        <stp>RT_Price</stp>
        <tr r="B5" s="1"/>
      </tp>
      <tp>
        <v>0.12190000000000001</v>
        <stp/>
        <stp>002475.SZ</stp>
        <stp>rt_pct_chg_5d</stp>
        <stp>RT_Price</stp>
        <tr r="B21" s="1"/>
      </tp>
      <tp>
        <v>3.4800000000000005E-2</v>
        <stp/>
        <stp>002384.SZ</stp>
        <stp>rt_pct_chg_5d</stp>
        <stp>RT_Price</stp>
        <tr r="C21" s="1"/>
      </tp>
      <tp>
        <v>1616122624</v>
        <stp/>
        <stp>000636.SZ</stp>
        <stp>rt_vip_activebuy_amt</stp>
        <stp>RT_Price</stp>
        <tr r="I49" s="1"/>
      </tp>
      <tp>
        <v>0.11130000000000001</v>
        <stp/>
        <stp>600487.SH</stp>
        <stp>rt_pct_chg_5d</stp>
        <stp>RT_Price</stp>
        <tr r="F21" s="1"/>
      </tp>
      <tp>
        <v>2.24E-2</v>
        <stp/>
        <stp>000636.SZ</stp>
        <stp>rt_pct_chg_5d</stp>
        <stp>RT_Price</stp>
        <tr r="I21" s="1"/>
      </tp>
      <tp>
        <v>0.32500000000000001</v>
        <stp/>
        <stp>600206.SH</stp>
        <stp>rt_pct_chg_5d</stp>
        <stp>RT_Price</stp>
        <tr r="H21" s="1"/>
      </tp>
      <tp>
        <v>0.80100000000000005</v>
        <stp/>
        <stp>002475.SZ</stp>
        <stp>rt_insti_vip_netinflow_ratio</stp>
        <stp>RT_Price</stp>
        <tr r="B30" s="1"/>
      </tp>
      <tp>
        <v>70.210000000000008</v>
        <stp/>
        <stp>000636.SZ</stp>
        <stp>rt_pre_close</stp>
        <stp>RT_Price</stp>
        <tr r="I5" s="1"/>
      </tp>
      <tp>
        <v>-7.010000000000001E-2</v>
        <stp/>
        <stp>600459.SH</stp>
        <stp>rt_pct_chg_5d</stp>
        <stp>RT_Price</stp>
        <tr r="D21" s="1"/>
      </tp>
      <tp>
        <v>1356474</v>
        <stp/>
        <stp>603211.SH</stp>
        <stp>rt_vip_buy_vol</stp>
        <stp>RT_Price</stp>
        <tr r="G33" s="1"/>
      </tp>
      <tp>
        <v>-5.62E-2</v>
        <stp/>
        <stp>002384.SZ</stp>
        <stp>rt_insti_vip_netinflow_ratio</stp>
        <stp>RT_Price</stp>
        <tr r="C30" s="1"/>
      </tp>
      <tp>
        <v>0.25900000000000001</v>
        <stp/>
        <stp>000988.SZ</stp>
        <stp>rt_insti_vip_netinflow_ratio</stp>
        <stp>RT_Price</stp>
        <tr r="E30" s="1"/>
      </tp>
      <tp>
        <v>1549600</v>
        <stp/>
        <stp>603211.SH</stp>
        <stp>rt_mid_buy_vol</stp>
        <stp>RT_Price</stp>
        <tr r="G35" s="1"/>
      </tp>
      <tp>
        <v>2.35E-2</v>
        <stp/>
        <stp>000988.SZ</stp>
        <stp>rt_pct_chg_5d</stp>
        <stp>RT_Price</stp>
        <tr r="E21" s="1"/>
      </tp>
      <tp>
        <v>8043005</v>
        <stp/>
        <stp>002384.SZ</stp>
        <stp>rt_vip_buy_vol</stp>
        <stp>RT_Price</stp>
        <tr r="C33" s="1"/>
      </tp>
      <tp>
        <v>20064291</v>
        <stp/>
        <stp>002475.SZ</stp>
        <stp>rt_vip_buy_vol</stp>
        <stp>RT_Price</stp>
        <tr r="B33" s="1"/>
      </tp>
      <tp>
        <v>246666</v>
        <stp/>
        <stp>002475.SZ</stp>
        <stp>rt_mid_buy_vol</stp>
        <stp>RT_Price</stp>
        <tr r="B35" s="1"/>
      </tp>
      <tp>
        <v>330462</v>
        <stp/>
        <stp>002384.SZ</stp>
        <stp>rt_mid_buy_vol</stp>
        <stp>RT_Price</stp>
        <tr r="C35" s="1"/>
      </tp>
      <tp>
        <v>19972317</v>
        <stp/>
        <stp>600206.SH</stp>
        <stp>rt_vip_buy_vol</stp>
        <stp>RT_Price</stp>
        <tr r="H33" s="1"/>
      </tp>
      <tp>
        <v>22581923</v>
        <stp/>
        <stp>000636.SZ</stp>
        <stp>rt_vip_buy_vol</stp>
        <stp>RT_Price</stp>
        <tr r="I33" s="1"/>
      </tp>
      <tp>
        <v>14610146</v>
        <stp/>
        <stp>600487.SH</stp>
        <stp>rt_vip_buy_vol</stp>
        <stp>RT_Price</stp>
        <tr r="F33" s="1"/>
      </tp>
      <tp>
        <v>7617036</v>
        <stp/>
        <stp>600459.SH</stp>
        <stp>rt_vip_buy_vol</stp>
        <stp>RT_Price</stp>
        <tr r="D33" s="1"/>
      </tp>
      <tp>
        <v>10157399</v>
        <stp/>
        <stp>000988.SZ</stp>
        <stp>rt_vip_buy_vol</stp>
        <stp>RT_Price</stp>
        <tr r="E33" s="1"/>
      </tp>
      <tp>
        <v>3820266</v>
        <stp/>
        <stp>000636.SZ</stp>
        <stp>rt_mid_buy_vol</stp>
        <stp>RT_Price</stp>
        <tr r="I35" s="1"/>
      </tp>
      <tp>
        <v>607640</v>
        <stp/>
        <stp>600487.SH</stp>
        <stp>rt_mid_buy_vol</stp>
        <stp>RT_Price</stp>
        <tr r="F35" s="1"/>
      </tp>
      <tp>
        <v>7262821</v>
        <stp/>
        <stp>600459.SH</stp>
        <stp>rt_mid_buy_vol</stp>
        <stp>RT_Price</stp>
        <tr r="D35" s="1"/>
      </tp>
      <tp>
        <v>6429163</v>
        <stp/>
        <stp>600206.SH</stp>
        <stp>rt_mid_buy_vol</stp>
        <stp>RT_Price</stp>
        <tr r="H35" s="1"/>
      </tp>
      <tp>
        <v>1256478</v>
        <stp/>
        <stp>000988.SZ</stp>
        <stp>rt_mid_buy_vol</stp>
        <stp>RT_Price</stp>
        <tr r="E35" s="1"/>
      </tp>
      <tp>
        <v>255.02</v>
        <stp/>
        <stp>002384.SZ</stp>
        <stp>rt_pre_close</stp>
        <stp>RT_Price</stp>
        <tr r="C5" s="1"/>
      </tp>
      <tp>
        <v>163.66</v>
        <stp/>
        <stp>000988.SZ</stp>
        <stp>rt_pre_close</stp>
        <stp>RT_Price</stp>
        <tr r="E5" s="1"/>
      </tp>
      <tp>
        <v>2064401820</v>
        <stp/>
        <stp>002384.SZ</stp>
        <stp>rt_vip_activebuy_amt</stp>
        <stp>RT_Price</stp>
        <tr r="C49" s="1"/>
      </tp>
      <tp>
        <v>1685455704</v>
        <stp/>
        <stp>000988.SZ</stp>
        <stp>rt_vip_activebuy_amt</stp>
        <stp>RT_Price</stp>
        <tr r="E49" s="1"/>
      </tp>
      <tp>
        <v>3.47</v>
        <stp/>
        <stp>600206.SH</stp>
        <stp>rt_chg</stp>
        <stp>RT_Price</stp>
        <tr r="H14" s="1"/>
      </tp>
      <tp>
        <v>2.15</v>
        <stp/>
        <stp>600487.SH</stp>
        <stp>rt_chg</stp>
        <stp>RT_Price</stp>
        <tr r="F14" s="1"/>
      </tp>
      <tp>
        <v>-0.39</v>
        <stp/>
        <stp>600459.SH</stp>
        <stp>rt_chg</stp>
        <stp>RT_Price</stp>
        <tr r="D14" s="1"/>
      </tp>
      <tp>
        <v>1.98</v>
        <stp/>
        <stp>000636.SZ</stp>
        <stp>rt_chg</stp>
        <stp>RT_Price</stp>
        <tr r="I14" s="1"/>
      </tp>
      <tp>
        <v>4.2</v>
        <stp/>
        <stp>000988.SZ</stp>
        <stp>rt_chg</stp>
        <stp>RT_Price</stp>
        <tr r="E14" s="1"/>
      </tp>
      <tp>
        <v>178000</v>
        <stp/>
        <stp>000988.SZ</stp>
        <stp>rt_indi_inflow</stp>
        <stp>RT_Price</stp>
        <tr r="E45" s="1"/>
      </tp>
      <tp>
        <v>48.35</v>
        <stp/>
        <stp>600206.SH</stp>
        <stp>rt_pre_close</stp>
        <stp>RT_Price</stp>
        <tr r="H5" s="1"/>
      </tp>
      <tp>
        <v>6380351</v>
        <stp/>
        <stp>600206.SH</stp>
        <stp>rt_indi_inflow</stp>
        <stp>RT_Price</stp>
        <tr r="H45" s="1"/>
      </tp>
      <tp>
        <v>978101</v>
        <stp/>
        <stp>000636.SZ</stp>
        <stp>rt_indi_inflow</stp>
        <stp>RT_Price</stp>
        <tr r="I45" s="1"/>
      </tp>
      <tp>
        <v>4089480</v>
        <stp/>
        <stp>600459.SH</stp>
        <stp>rt_indi_inflow</stp>
        <stp>RT_Price</stp>
        <tr r="D45" s="1"/>
      </tp>
      <tp>
        <v>-24264</v>
        <stp/>
        <stp>600487.SH</stp>
        <stp>rt_indi_inflow</stp>
        <stp>RT_Price</stp>
        <tr r="F45" s="1"/>
      </tp>
      <tp>
        <v>-0.29050000000000004</v>
        <stp/>
        <stp>600459.SH</stp>
        <stp>rt_insti_vip_netinflow_ratio</stp>
        <stp>RT_Price</stp>
        <tr r="D30" s="1"/>
      </tp>
      <tp>
        <v>37</v>
        <stp/>
        <stp>603211.SH</stp>
        <stp>rt_pre_close</stp>
        <stp>RT_Price</stp>
        <tr r="G5" s="1"/>
      </tp>
      <tp>
        <v>-8.6699999999999999E-2</v>
        <stp/>
        <stp>600206.SH</stp>
        <stp>rt_mf_ratio</stp>
        <stp>RT_Price</stp>
        <tr r="H23" s="1"/>
      </tp>
      <tp>
        <v>-5.67E-2</v>
        <stp/>
        <stp>603211.SH</stp>
        <stp>rt_mf_ratio</stp>
        <stp>RT_Price</stp>
        <tr r="G23" s="1"/>
      </tp>
      <tp>
        <v>2.7</v>
        <stp/>
        <stp>002384.SZ</stp>
        <stp>rt_chg</stp>
        <stp>RT_Price</stp>
        <tr r="C14" s="1"/>
      </tp>
      <tp>
        <v>6.1000000000000005</v>
        <stp/>
        <stp>002475.SZ</stp>
        <stp>rt_chg</stp>
        <stp>RT_Price</stp>
        <tr r="B14" s="1"/>
      </tp>
      <tp>
        <v>1001384393</v>
        <stp/>
        <stp>600206.SH</stp>
        <stp>rt_vip_activebuy_amt</stp>
        <stp>RT_Price</stp>
        <tr r="H49" s="1"/>
      </tp>
      <tp>
        <v>179702</v>
        <stp/>
        <stp>002384.SZ</stp>
        <stp>rt_indi_inflow</stp>
        <stp>RT_Price</stp>
        <tr r="C45" s="1"/>
      </tp>
      <tp>
        <v>0</v>
        <stp/>
        <stp>002475.SZ</stp>
        <stp>rt_indi_inflow</stp>
        <stp>RT_Price</stp>
        <tr r="B45" s="1"/>
      </tp>
      <tp>
        <v>-5.62E-2</v>
        <stp/>
        <stp>002384.SZ</stp>
        <stp>rt_mf_ratio</stp>
        <stp>RT_Price</stp>
        <tr r="C23" s="1"/>
      </tp>
      <tp>
        <v>-0.81</v>
        <stp/>
        <stp>603211.SH</stp>
        <stp>rt_chg</stp>
        <stp>RT_Price</stp>
        <tr r="G14" s="1"/>
      </tp>
      <tp>
        <v>49703592</v>
        <stp/>
        <stp>603211.SH</stp>
        <stp>rt_vip_activebuy_amt</stp>
        <stp>RT_Price</stp>
        <tr r="G49" s="1"/>
      </tp>
      <tp>
        <v>-8184463</v>
        <stp/>
        <stp>603211.SH</stp>
        <stp>rt_indi_inflow</stp>
        <stp>RT_Price</stp>
        <tr r="G45" s="1"/>
      </tp>
      <tp>
        <v>-0.29050000000000004</v>
        <stp/>
        <stp>600459.SH</stp>
        <stp>rt_mf_ratio</stp>
        <stp>RT_Price</stp>
        <tr r="D23" s="1"/>
      </tp>
      <tp>
        <v>-3.6000000000000004E-2</v>
        <stp/>
        <stp>600487.SH</stp>
        <stp>rt_mf_ratio</stp>
        <stp>RT_Price</stp>
        <tr r="F23" s="1"/>
      </tp>
      <tp>
        <v>0.80100000000000005</v>
        <stp/>
        <stp>002475.SZ</stp>
        <stp>rt_mf_ratio</stp>
        <stp>RT_Price</stp>
        <tr r="B23" s="1"/>
      </tp>
      <tp>
        <v>-8.6699999999999999E-2</v>
        <stp/>
        <stp>600206.SH</stp>
        <stp>rt_insti_vip_netinflow_ratio</stp>
        <stp>RT_Price</stp>
        <tr r="H30" s="1"/>
      </tp>
      <tp>
        <v>9032974</v>
        <stp/>
        <stp>603211.SH</stp>
        <stp>rt_vol</stp>
        <stp>RT_Price</stp>
        <tr r="G12" s="1"/>
      </tp>
      <tp>
        <v>-5.67E-2</v>
        <stp/>
        <stp>603211.SH</stp>
        <stp>rt_insti_vip_netinflow_ratio</stp>
        <stp>RT_Price</stp>
        <tr r="G30" s="1"/>
      </tp>
      <tp>
        <v>51760285</v>
        <stp/>
        <stp>002384.SZ</stp>
        <stp>rt_vol</stp>
        <stp>RT_Price</stp>
        <tr r="C12" s="1"/>
      </tp>
      <tp>
        <v>375987918</v>
        <stp/>
        <stp>002475.SZ</stp>
        <stp>rt_vol</stp>
        <stp>RT_Price</stp>
        <tr r="B12" s="1"/>
      </tp>
      <tp>
        <v>6959163053</v>
        <stp/>
        <stp>600206.SH</stp>
        <stp>rt_amt</stp>
        <stp>RT_Price</stp>
        <tr r="H13" s="1"/>
      </tp>
      <tp>
        <v>8305958953</v>
        <stp/>
        <stp>000636.SZ</stp>
        <stp>rt_amt</stp>
        <stp>RT_Price</stp>
        <tr r="I13" s="1"/>
      </tp>
      <tp>
        <v>17498817819</v>
        <stp/>
        <stp>600487.SH</stp>
        <stp>rt_amt</stp>
        <stp>RT_Price</stp>
        <tr r="F13" s="1"/>
      </tp>
      <tp>
        <v>1079996208</v>
        <stp/>
        <stp>600459.SH</stp>
        <stp>rt_amt</stp>
        <stp>RT_Price</stp>
        <tr r="D13" s="1"/>
      </tp>
      <tp>
        <v>26.13</v>
        <stp/>
        <stp>600459.SH</stp>
        <stp>rt_pre_close</stp>
        <stp>RT_Price</stp>
        <tr r="D5" s="1"/>
      </tp>
      <tp>
        <v>8249936011</v>
        <stp/>
        <stp>000988.SZ</stp>
        <stp>rt_amt</stp>
        <stp>RT_Price</stp>
        <tr r="E13" s="1"/>
      </tp>
      <tp>
        <v>0.30360000000000004</v>
        <stp/>
        <stp>000636.SZ</stp>
        <stp>rt_mf_ratio</stp>
        <stp>RT_Price</stp>
        <tr r="I23" s="1"/>
      </tp>
      <tp>
        <v>329419973</v>
        <stp/>
        <stp>603211.SH</stp>
        <stp>rt_amt</stp>
        <stp>RT_Price</stp>
        <tr r="G13" s="1"/>
      </tp>
      <tp>
        <v>49841238</v>
        <stp/>
        <stp>000988.SZ</stp>
        <stp>rt_vol</stp>
        <stp>RT_Price</stp>
        <tr r="E12" s="1"/>
      </tp>
      <tp>
        <v>141578907</v>
        <stp/>
        <stp>600206.SH</stp>
        <stp>rt_vol</stp>
        <stp>RT_Price</stp>
        <tr r="H12" s="1"/>
      </tp>
      <tp>
        <v>116151109</v>
        <stp/>
        <stp>000636.SZ</stp>
        <stp>rt_vol</stp>
        <stp>RT_Price</stp>
        <tr r="I12" s="1"/>
      </tp>
      <tp>
        <v>148977718</v>
        <stp/>
        <stp>600487.SH</stp>
        <stp>rt_vol</stp>
        <stp>RT_Price</stp>
        <tr r="F12" s="1"/>
      </tp>
      <tp>
        <v>42132240</v>
        <stp/>
        <stp>600459.SH</stp>
        <stp>rt_vol</stp>
        <stp>RT_Price</stp>
        <tr r="D12" s="1"/>
      </tp>
      <tp>
        <v>13274464505</v>
        <stp/>
        <stp>002384.SZ</stp>
        <stp>rt_amt</stp>
        <stp>RT_Price</stp>
        <tr r="C13" s="1"/>
      </tp>
      <tp>
        <v>27371778753</v>
        <stp/>
        <stp>002475.SZ</stp>
        <stp>rt_amt</stp>
        <stp>RT_Price</stp>
        <tr r="B13" s="1"/>
      </tp>
      <tp>
        <v>195971171</v>
        <stp/>
        <stp>600459.SH</stp>
        <stp>rt_vip_activebuy_amt</stp>
        <stp>RT_Price</stp>
        <tr r="D49" s="1"/>
      </tp>
      <tp>
        <v>117.31</v>
        <stp/>
        <stp>600487.SH</stp>
        <stp>rt_pre_close</stp>
        <stp>RT_Price</stp>
        <tr r="F5" s="1"/>
      </tp>
      <tp>
        <v>0.25900000000000001</v>
        <stp/>
        <stp>000988.SZ</stp>
        <stp>rt_mf_ratio</stp>
        <stp>RT_Price</stp>
        <tr r="E23" s="1"/>
      </tp>
      <tp>
        <v>1718108692</v>
        <stp/>
        <stp>600487.SH</stp>
        <stp>rt_vip_activebuy_amt</stp>
        <stp>RT_Price</stp>
        <tr r="F49" s="1"/>
      </tp>
      <tp>
        <v>-3.6000000000000004E-2</v>
        <stp/>
        <stp>600487.SH</stp>
        <stp>rt_insti_vip_netinflow_ratio</stp>
        <stp>RT_Price</stp>
        <tr r="F30" s="1"/>
      </tp>
      <tp>
        <v>5.5438000000000001</v>
        <stp/>
        <stp>600206.SH</stp>
        <stp>rt_mf_ratio_10d</stp>
        <stp>RT_Price</stp>
        <tr r="H25" s="1"/>
      </tp>
      <tp>
        <v>1.5207000000000002</v>
        <stp/>
        <stp>603211.SH</stp>
        <stp>rt_mf_ratio_10d</stp>
        <stp>RT_Price</stp>
        <tr r="G25" s="1"/>
      </tp>
      <tp>
        <v>-5640611</v>
        <stp/>
        <stp>603211.SH</stp>
        <stp>rt_mf_amt</stp>
        <stp>RT_Price</stp>
        <tr r="G28" s="1"/>
      </tp>
      <tp>
        <v>0.31659999999999999</v>
        <stp/>
        <stp>002384.SZ</stp>
        <stp>rt_mf_ratio_10d</stp>
        <stp>RT_Price</stp>
        <tr r="C25" s="1"/>
      </tp>
      <tp>
        <v>-562200</v>
        <stp/>
        <stp>603211.SH</stp>
        <stp>rt_mid_netbuy_vol</stp>
        <stp>RT_Price</stp>
        <tr r="G40" s="1"/>
      </tp>
      <tp>
        <v>-3.0677000000000003</v>
        <stp/>
        <stp>600459.SH</stp>
        <stp>rt_mf_ratio_10d</stp>
        <stp>RT_Price</stp>
        <tr r="D25" s="1"/>
      </tp>
      <tp>
        <v>-1.675</v>
        <stp/>
        <stp>600487.SH</stp>
        <stp>rt_mf_ratio_10d</stp>
        <stp>RT_Price</stp>
        <tr r="F25" s="1"/>
      </tp>
      <tp>
        <v>1.1506000000000001</v>
        <stp/>
        <stp>002475.SZ</stp>
        <stp>rt_mf_ratio_10d</stp>
        <stp>RT_Price</stp>
        <tr r="B25" s="1"/>
      </tp>
      <tp>
        <v>1486371</v>
        <stp/>
        <stp>600206.SH</stp>
        <stp>rt_mid_netbuy_vol</stp>
        <stp>RT_Price</stp>
        <tr r="H40" s="1"/>
      </tp>
      <tp>
        <v>1405072</v>
        <stp/>
        <stp>000636.SZ</stp>
        <stp>rt_mid_netbuy_vol</stp>
        <stp>RT_Price</stp>
        <tr r="I40" s="1"/>
      </tp>
      <tp>
        <v>0</v>
        <stp/>
        <stp>600459.SH</stp>
        <stp>rt_askvol</stp>
        <stp>RT_Price</stp>
        <tr r="D27" s="1"/>
      </tp>
      <tp>
        <v>-66290239</v>
        <stp/>
        <stp>600487.SH</stp>
        <stp>rt_mf_amt</stp>
        <stp>RT_Price</stp>
        <tr r="F28" s="1"/>
      </tp>
      <tp>
        <v>43231</v>
        <stp/>
        <stp>600487.SH</stp>
        <stp>rt_mid_netbuy_vol</stp>
        <stp>RT_Price</stp>
        <tr r="F40" s="1"/>
      </tp>
      <tp>
        <v>0</v>
        <stp/>
        <stp>000988.SZ</stp>
        <stp>rt_askvol</stp>
        <stp>RT_Price</stp>
        <tr r="E27" s="1"/>
      </tp>
      <tp>
        <v>-34740426</v>
        <stp/>
        <stp>600206.SH</stp>
        <stp>rt_mf_amt</stp>
        <stp>RT_Price</stp>
        <tr r="H28" s="1"/>
      </tp>
      <tp>
        <v>257242084</v>
        <stp/>
        <stp>000636.SZ</stp>
        <stp>rt_mf_amt</stp>
        <stp>RT_Price</stp>
        <tr r="I28" s="1"/>
      </tp>
      <tp>
        <v>1.212</v>
        <stp/>
        <stp>000636.SZ</stp>
        <stp>rt_mf_ratio_10d</stp>
        <stp>RT_Price</stp>
        <tr r="I25" s="1"/>
      </tp>
      <tp>
        <v>1827</v>
        <stp/>
        <stp>002384.SZ</stp>
        <stp>rt_mid_netbuy_vol</stp>
        <stp>RT_Price</stp>
        <tr r="C40" s="1"/>
      </tp>
      <tp>
        <v>4346141315</v>
        <stp/>
        <stp>002475.SZ</stp>
        <stp>rt_mf_amt</stp>
        <stp>RT_Price</stp>
        <tr r="B28" s="1"/>
      </tp>
      <tp>
        <v>0</v>
        <stp/>
        <stp>000988.SZ</stp>
        <stp>rt_bidvol</stp>
        <stp>RT_Price</stp>
        <tr r="E26" s="1"/>
      </tp>
      <tp>
        <v>47066</v>
        <stp/>
        <stp>002475.SZ</stp>
        <stp>rt_mid_netbuy_vol</stp>
        <stp>RT_Price</stp>
        <tr r="B40" s="1"/>
      </tp>
      <tp>
        <v>-187808895</v>
        <stp/>
        <stp>002384.SZ</stp>
        <stp>rt_mf_amt</stp>
        <stp>RT_Price</stp>
        <tr r="C28" s="1"/>
      </tp>
      <tp>
        <v>0</v>
        <stp/>
        <stp>600459.SH</stp>
        <stp>rt_bidvol</stp>
        <stp>RT_Price</stp>
        <tr r="D26" s="1"/>
      </tp>
      <tp>
        <v>0</v>
        <stp/>
        <stp>002475.SZ</stp>
        <stp>rt_askvol</stp>
        <stp>RT_Price</stp>
        <tr r="B27" s="1"/>
      </tp>
      <tp>
        <v>0</v>
        <stp/>
        <stp>600206.SH</stp>
        <stp>rt_bidvol</stp>
        <stp>RT_Price</stp>
        <tr r="H26" s="1"/>
      </tp>
      <tp>
        <v>0</v>
        <stp/>
        <stp>000636.SZ</stp>
        <stp>rt_bidvol</stp>
        <stp>RT_Price</stp>
        <tr r="I26" s="1"/>
      </tp>
      <tp>
        <v>-3.27E-2</v>
        <stp/>
        <stp>000988.SZ</stp>
        <stp>rt_mf_ratio_10d</stp>
        <stp>RT_Price</stp>
        <tr r="E25" s="1"/>
      </tp>
      <tp>
        <v>0</v>
        <stp/>
        <stp>002384.SZ</stp>
        <stp>rt_askvol</stp>
        <stp>RT_Price</stp>
        <tr r="C27" s="1"/>
      </tp>
      <tp>
        <v>0</v>
        <stp/>
        <stp>600487.SH</stp>
        <stp>rt_bidvol</stp>
        <stp>RT_Price</stp>
        <tr r="F26" s="1"/>
      </tp>
      <tp>
        <v>30267</v>
        <stp/>
        <stp>000988.SZ</stp>
        <stp>rt_mid_netbuy_vol</stp>
        <stp>RT_Price</stp>
        <tr r="E40" s="1"/>
      </tp>
      <tp>
        <v>0</v>
        <stp/>
        <stp>600487.SH</stp>
        <stp>rt_askvol</stp>
        <stp>RT_Price</stp>
        <tr r="F27" s="1"/>
      </tp>
      <tp>
        <v>-55791271</v>
        <stp/>
        <stp>600459.SH</stp>
        <stp>rt_mf_amt</stp>
        <stp>RT_Price</stp>
        <tr r="D28" s="1"/>
      </tp>
      <tp>
        <v>0</v>
        <stp/>
        <stp>002384.SZ</stp>
        <stp>rt_bidvol</stp>
        <stp>RT_Price</stp>
        <tr r="C26" s="1"/>
      </tp>
      <tp>
        <v>-405160</v>
        <stp/>
        <stp>600459.SH</stp>
        <stp>rt_mid_netbuy_vol</stp>
        <stp>RT_Price</stp>
        <tr r="D40" s="1"/>
      </tp>
      <tp>
        <v>0</v>
        <stp/>
        <stp>000636.SZ</stp>
        <stp>rt_askvol</stp>
        <stp>RT_Price</stp>
        <tr r="I27" s="1"/>
      </tp>
      <tp>
        <v>0</v>
        <stp/>
        <stp>600206.SH</stp>
        <stp>rt_askvol</stp>
        <stp>RT_Price</stp>
        <tr r="H27" s="1"/>
      </tp>
      <tp>
        <v>432669346</v>
        <stp/>
        <stp>000988.SZ</stp>
        <stp>rt_mf_amt</stp>
        <stp>RT_Price</stp>
        <tr r="E28" s="1"/>
      </tp>
      <tp>
        <v>0</v>
        <stp/>
        <stp>002475.SZ</stp>
        <stp>rt_bidvol</stp>
        <stp>RT_Price</stp>
        <tr r="B26" s="1"/>
      </tp>
      <tp>
        <v>0</v>
        <stp/>
        <stp>603211.SH</stp>
        <stp>rt_askvol</stp>
        <stp>RT_Price</stp>
        <tr r="G27" s="1"/>
      </tp>
      <tp>
        <v>0</v>
        <stp/>
        <stp>603211.SH</stp>
        <stp>rt_bidvol</stp>
        <stp>RT_Price</stp>
        <tr r="G26" s="1"/>
      </tp>
      <tp>
        <v>11927091</v>
        <stp/>
        <stp>000988.SZ</stp>
        <stp>rt_insti_sell_vol</stp>
        <stp>RT_Price</stp>
        <tr r="E32" s="1"/>
      </tp>
      <tp>
        <v>-3604752</v>
        <stp/>
        <stp>600459.SH</stp>
        <stp>rt_vip_netbuy_vol</stp>
        <stp>RT_Price</stp>
        <tr r="D39" s="1"/>
      </tp>
      <tp>
        <v>201439</v>
        <stp/>
        <stp>000988.SZ</stp>
        <stp>rt_last_amt</stp>
        <stp>RT_Price</stp>
        <tr r="E9" s="1"/>
      </tp>
      <tp>
        <v>1361619</v>
        <stp/>
        <stp>600459.SH</stp>
        <stp>rt_insti_sell_vol</stp>
        <stp>RT_Price</stp>
        <tr r="D32" s="1"/>
      </tp>
      <tp>
        <v>6044</v>
        <stp/>
        <stp>000988.SZ</stp>
        <stp>rt_vip_netbuy_vol</stp>
        <stp>RT_Price</stp>
        <tr r="E39" s="1"/>
      </tp>
      <tp>
        <v>1969655994</v>
        <stp/>
        <stp>000988.SZ</stp>
        <stp>rt_insti_sell_amt</stp>
        <stp>RT_Price</stp>
        <tr r="E47" s="1"/>
      </tp>
      <tp>
        <v>1200</v>
        <stp/>
        <stp>000988.SZ</stp>
        <stp>rt_last_vol</stp>
        <stp>RT_Price</stp>
        <tr r="E10" s="1"/>
      </tp>
      <tp>
        <v>34847294</v>
        <stp/>
        <stp>600459.SH</stp>
        <stp>rt_insti_sell_amt</stp>
        <stp>RT_Price</stp>
        <tr r="D47" s="1"/>
      </tp>
      <tp>
        <v>167.86</v>
        <stp/>
        <stp>000988.SZ</stp>
        <stp>rt_latest</stp>
        <stp>RT_Price</stp>
        <tr r="E11" s="1"/>
      </tp>
      <tp>
        <v>25.740000000000002</v>
        <stp/>
        <stp>600459.SH</stp>
        <stp>rt_latest</stp>
        <stp>RT_Price</stp>
        <tr r="D11" s="1"/>
      </tp>
      <tp>
        <v>1600</v>
        <stp/>
        <stp>603211.SH</stp>
        <stp>rt_last_vol</stp>
        <stp>RT_Price</stp>
        <tr r="G10" s="1"/>
      </tp>
      <tp>
        <v>16800</v>
        <stp/>
        <stp>600206.SH</stp>
        <stp>rt_last_vol</stp>
        <stp>RT_Price</stp>
        <tr r="H10" s="1"/>
      </tp>
      <tp>
        <v>2401434468</v>
        <stp/>
        <stp>000988.SZ</stp>
        <stp>rt_insti_activebuy_amt</stp>
        <stp>RT_Price</stp>
        <tr r="E48" s="1"/>
      </tp>
      <tp>
        <v>2410243554</v>
        <stp/>
        <stp>000636.SZ</stp>
        <stp>rt_insti_activebuy_amt</stp>
        <stp>RT_Price</stp>
        <tr r="I48" s="1"/>
      </tp>
      <tp>
        <v>70777677</v>
        <stp/>
        <stp>600459.SH</stp>
        <stp>rt_insti_activebuy_amt</stp>
        <stp>RT_Price</stp>
        <tr r="D48" s="1"/>
      </tp>
      <tp>
        <v>6835222424</v>
        <stp/>
        <stp>600487.SH</stp>
        <stp>rt_insti_activebuy_amt</stp>
        <stp>RT_Price</stp>
        <tr r="F48" s="1"/>
      </tp>
      <tp>
        <v>2106550004</v>
        <stp/>
        <stp>600206.SH</stp>
        <stp>rt_insti_activebuy_amt</stp>
        <stp>RT_Price</stp>
        <tr r="H48" s="1"/>
      </tp>
      <tp>
        <v>-133226</v>
        <stp/>
        <stp>603211.SH</stp>
        <stp>rt_vip_netbuy_vol</stp>
        <stp>RT_Price</stp>
        <tr r="G39" s="1"/>
      </tp>
      <tp>
        <v>257.72000000000003</v>
        <stp/>
        <stp>002384.SZ</stp>
        <stp>rt_latest</stp>
        <stp>RT_Price</stp>
        <tr r="C11" s="1"/>
      </tp>
      <tp>
        <v>800</v>
        <stp/>
        <stp>002384.SZ</stp>
        <stp>rt_last_vol</stp>
        <stp>RT_Price</stp>
        <tr r="C10" s="1"/>
      </tp>
      <tp>
        <v>158800</v>
        <stp/>
        <stp>603211.SH</stp>
        <stp>rt_insti_sell_vol</stp>
        <stp>RT_Price</stp>
        <tr r="G32" s="1"/>
      </tp>
      <tp>
        <v>75.460000000000008</v>
        <stp/>
        <stp>002475.SZ</stp>
        <stp>rt_latest</stp>
        <stp>RT_Price</stp>
        <tr r="B11" s="1"/>
      </tp>
      <tp>
        <v>57892</v>
        <stp/>
        <stp>603211.SH</stp>
        <stp>rt_last_amt</stp>
        <stp>RT_Price</stp>
        <tr r="G9" s="1"/>
      </tp>
      <tp>
        <v>870557</v>
        <stp/>
        <stp>600206.SH</stp>
        <stp>rt_last_amt</stp>
        <stp>RT_Price</stp>
        <tr r="H9" s="1"/>
      </tp>
      <tp>
        <v>14338785425</v>
        <stp/>
        <stp>002475.SZ</stp>
        <stp>rt_insti_activebuy_amt</stp>
        <stp>RT_Price</stp>
        <tr r="B48" s="1"/>
      </tp>
      <tp>
        <v>4322671297</v>
        <stp/>
        <stp>002384.SZ</stp>
        <stp>rt_insti_activebuy_amt</stp>
        <stp>RT_Price</stp>
        <tr r="C48" s="1"/>
      </tp>
      <tp>
        <v>51.82</v>
        <stp/>
        <stp>600206.SH</stp>
        <stp>rt_latest</stp>
        <stp>RT_Price</stp>
        <tr r="H11" s="1"/>
      </tp>
      <tp>
        <v>72.19</v>
        <stp/>
        <stp>000636.SZ</stp>
        <stp>rt_latest</stp>
        <stp>RT_Price</stp>
        <tr r="I11" s="1"/>
      </tp>
      <tp>
        <v>206177</v>
        <stp/>
        <stp>002384.SZ</stp>
        <stp>rt_last_amt</stp>
        <stp>RT_Price</stp>
        <tr r="C9" s="1"/>
      </tp>
      <tp>
        <v>4988360</v>
        <stp/>
        <stp>603211.SH</stp>
        <stp>rt_insti_activebuy_amt</stp>
        <stp>RT_Price</stp>
        <tr r="G48" s="1"/>
      </tp>
      <tp>
        <v>5867660</v>
        <stp/>
        <stp>603211.SH</stp>
        <stp>rt_insti_sell_amt</stp>
        <stp>RT_Price</stp>
        <tr r="G47" s="1"/>
      </tp>
      <tp>
        <v>119.46000000000001</v>
        <stp/>
        <stp>600487.SH</stp>
        <stp>rt_latest</stp>
        <stp>RT_Price</stp>
        <tr r="F11" s="1"/>
      </tp>
      <tp>
        <v>732038</v>
        <stp/>
        <stp>002475.SZ</stp>
        <stp>rt_last_amt</stp>
        <stp>RT_Price</stp>
        <tr r="B9" s="1"/>
      </tp>
      <tp>
        <v>62600</v>
        <stp/>
        <stp>000636.SZ</stp>
        <stp>rt_last_vol</stp>
        <stp>RT_Price</stp>
        <tr r="I10" s="1"/>
      </tp>
      <tp>
        <v>1075168</v>
        <stp/>
        <stp>600487.SH</stp>
        <stp>rt_last_amt</stp>
        <stp>RT_Price</stp>
        <tr r="F9" s="1"/>
      </tp>
      <tp>
        <v>41184</v>
        <stp/>
        <stp>600459.SH</stp>
        <stp>rt_last_amt</stp>
        <stp>RT_Price</stp>
        <tr r="D9" s="1"/>
      </tp>
      <tp>
        <v>17724833</v>
        <stp/>
        <stp>002384.SZ</stp>
        <stp>rt_insti_sell_vol</stp>
        <stp>RT_Price</stp>
        <tr r="C32" s="1"/>
      </tp>
      <tp>
        <v>2146975205</v>
        <stp/>
        <stp>600206.SH</stp>
        <stp>rt_insti_sell_amt</stp>
        <stp>RT_Price</stp>
        <tr r="H47" s="1"/>
      </tp>
      <tp>
        <v>2353076003</v>
        <stp/>
        <stp>000636.SZ</stp>
        <stp>rt_insti_sell_amt</stp>
        <stp>RT_Price</stp>
        <tr r="I47" s="1"/>
      </tp>
      <tp>
        <v>-4762198</v>
        <stp/>
        <stp>002475.SZ</stp>
        <stp>rt_vip_netbuy_vol</stp>
        <stp>RT_Price</stp>
        <tr r="B39" s="1"/>
      </tp>
      <tp>
        <v>133099059</v>
        <stp/>
        <stp>002475.SZ</stp>
        <stp>rt_insti_sell_vol</stp>
        <stp>RT_Price</stp>
        <tr r="B32" s="1"/>
      </tp>
      <tp>
        <v>6775388208</v>
        <stp/>
        <stp>600487.SH</stp>
        <stp>rt_insti_sell_amt</stp>
        <stp>RT_Price</stp>
        <tr r="F47" s="1"/>
      </tp>
      <tp>
        <v>112025</v>
        <stp/>
        <stp>002384.SZ</stp>
        <stp>rt_vip_netbuy_vol</stp>
        <stp>RT_Price</stp>
        <tr r="C39" s="1"/>
      </tp>
      <tp>
        <v>36.19</v>
        <stp/>
        <stp>603211.SH</stp>
        <stp>rt_latest</stp>
        <stp>RT_Price</stp>
        <tr r="G11" s="1"/>
      </tp>
      <tp>
        <v>1600</v>
        <stp/>
        <stp>600459.SH</stp>
        <stp>rt_last_vol</stp>
        <stp>RT_Price</stp>
        <tr r="D10" s="1"/>
      </tp>
      <tp>
        <v>4517675</v>
        <stp/>
        <stp>000636.SZ</stp>
        <stp>rt_last_amt</stp>
        <stp>RT_Price</stp>
        <tr r="I9" s="1"/>
      </tp>
      <tp>
        <v>9000</v>
        <stp/>
        <stp>600487.SH</stp>
        <stp>rt_last_vol</stp>
        <stp>RT_Price</stp>
        <tr r="F10" s="1"/>
      </tp>
      <tp>
        <v>9700</v>
        <stp/>
        <stp>002475.SZ</stp>
        <stp>rt_last_vol</stp>
        <stp>RT_Price</stp>
        <tr r="B10" s="1"/>
      </tp>
      <tp>
        <v>44211602</v>
        <stp/>
        <stp>600206.SH</stp>
        <stp>rt_insti_sell_vol</stp>
        <stp>RT_Price</stp>
        <tr r="H32" s="1"/>
      </tp>
      <tp>
        <v>32952585</v>
        <stp/>
        <stp>000636.SZ</stp>
        <stp>rt_insti_sell_vol</stp>
        <stp>RT_Price</stp>
        <tr r="I32" s="1"/>
      </tp>
      <tp>
        <v>4539735595</v>
        <stp/>
        <stp>002384.SZ</stp>
        <stp>rt_insti_sell_amt</stp>
        <stp>RT_Price</stp>
        <tr r="C47" s="1"/>
      </tp>
      <tp>
        <v>-1073969</v>
        <stp/>
        <stp>600487.SH</stp>
        <stp>rt_vip_netbuy_vol</stp>
        <stp>RT_Price</stp>
        <tr r="F39" s="1"/>
      </tp>
      <tp>
        <v>57831839</v>
        <stp/>
        <stp>600487.SH</stp>
        <stp>rt_insti_sell_vol</stp>
        <stp>RT_Price</stp>
        <tr r="F32" s="1"/>
      </tp>
      <tp>
        <v>9639846023</v>
        <stp/>
        <stp>002475.SZ</stp>
        <stp>rt_insti_sell_amt</stp>
        <stp>RT_Price</stp>
        <tr r="B47" s="1"/>
      </tp>
      <tp>
        <v>2795781</v>
        <stp/>
        <stp>000636.SZ</stp>
        <stp>rt_vip_netbuy_vol</stp>
        <stp>RT_Price</stp>
        <tr r="I39" s="1"/>
      </tp>
      <tp>
        <v>58520</v>
        <stp/>
        <stp>600206.SH</stp>
        <stp>rt_vip_netbuy_vol</stp>
        <stp>RT_Price</stp>
        <tr r="H39" s="1"/>
      </tp>
      <tp>
        <v>-0.02</v>
        <stp/>
        <stp>600487.SH</stp>
        <stp>rt_auctionChg</stp>
        <stp>RT_Price</stp>
        <tr r="F22" s="1"/>
      </tp>
      <tp>
        <v>252.14000000000001</v>
        <stp/>
        <stp>002384.SZ</stp>
        <stp>rt_open</stp>
        <stp>RT_Price</stp>
        <tr r="C6" s="1"/>
      </tp>
      <tp>
        <v>-2.7900000000000001E-2</v>
        <stp/>
        <stp>600206.SH</stp>
        <stp>rt_auctionChg</stp>
        <stp>RT_Price</stp>
        <tr r="H22" s="1"/>
      </tp>
      <tp>
        <v>-0.01</v>
        <stp/>
        <stp>000636.SZ</stp>
        <stp>rt_auctionChg</stp>
        <stp>RT_Price</stp>
        <tr r="I22" s="1"/>
      </tp>
      <tp>
        <v>35200</v>
        <stp/>
        <stp>000636.SZ</stp>
        <stp>rt_indi_sell_vol</stp>
        <stp>RT_Price</stp>
        <tr r="I38" s="1"/>
      </tp>
      <tp>
        <v>196350113</v>
        <stp/>
        <stp>002475.SZ</stp>
        <stp>rt_insti_buy_vol</stp>
        <stp>RT_Price</stp>
        <tr r="B31" s="1"/>
      </tp>
      <tp>
        <v>0.1419</v>
        <stp/>
        <stp>002475.SZ</stp>
        <stp>rt_swing</stp>
        <stp>RT_Price</stp>
        <tr r="B17" s="1"/>
      </tp>
      <tp>
        <v>36.480000000000004</v>
        <stp/>
        <stp>603211.SH</stp>
        <stp>rt_open</stp>
        <stp>RT_Price</stp>
        <tr r="G6" s="1"/>
      </tp>
      <tp>
        <v>47</v>
        <stp/>
        <stp>600206.SH</stp>
        <stp>rt_open</stp>
        <stp>RT_Price</stp>
        <tr r="H6" s="1"/>
      </tp>
      <tp>
        <v>-1.3000000000000001E-2</v>
        <stp/>
        <stp>002475.SZ</stp>
        <stp>rt_auctionChg</stp>
        <stp>RT_Price</stp>
        <tr r="B22" s="1"/>
      </tp>
      <tp t="s">
        <v>14:31:18</v>
        <stp/>
        <stp>000988.SZ</stp>
        <stp>rt_time</stp>
        <stp>RT_Price</stp>
        <tr r="E4" s="1"/>
      </tp>
      <tp>
        <v>260.97000000000003</v>
        <stp/>
        <stp>002384.SZ</stp>
        <stp>rt_high</stp>
        <stp>RT_Price</stp>
        <tr r="C7" s="1"/>
      </tp>
      <tp>
        <v>328635</v>
        <stp/>
        <stp>002384.SZ</stp>
        <stp>rt_mid_sell_vol</stp>
        <stp>RT_Price</stp>
        <tr r="C36" s="1"/>
      </tp>
      <tp>
        <v>-1.1300000000000001E-2</v>
        <stp/>
        <stp>002384.SZ</stp>
        <stp>rt_auctionChg</stp>
        <stp>RT_Price</stp>
        <tr r="C22" s="1"/>
      </tp>
      <tp>
        <v>14338785425</v>
        <stp/>
        <stp>002475.SZ</stp>
        <stp>rt_insti_buy_amt</stp>
        <stp>RT_Price</stp>
        <tr r="B46" s="1"/>
      </tp>
      <tp>
        <v>37.800000000000004</v>
        <stp/>
        <stp>603211.SH</stp>
        <stp>rt_high</stp>
        <stp>RT_Price</stp>
        <tr r="G7" s="1"/>
      </tp>
      <tp>
        <v>52.22</v>
        <stp/>
        <stp>600206.SH</stp>
        <stp>rt_high</stp>
        <stp>RT_Price</stp>
        <tr r="H7" s="1"/>
      </tp>
      <tp>
        <v>4942792</v>
        <stp/>
        <stp>600206.SH</stp>
        <stp>rt_mid_sell_vol</stp>
        <stp>RT_Price</stp>
        <tr r="H36" s="1"/>
      </tp>
      <tp>
        <v>2111800</v>
        <stp/>
        <stp>603211.SH</stp>
        <stp>rt_mid_sell_vol</stp>
        <stp>RT_Price</stp>
        <tr r="G36" s="1"/>
      </tp>
      <tp>
        <v>4914255</v>
        <stp/>
        <stp>000988.SZ</stp>
        <stp>rt_mid_inflow</stp>
        <stp>RT_Price</stp>
        <tr r="E44" s="1"/>
      </tp>
      <tp>
        <v>0</v>
        <stp/>
        <stp>002475.SZ</stp>
        <stp>rt_indi_sell_vol</stp>
        <stp>RT_Price</stp>
        <tr r="B38" s="1"/>
      </tp>
      <tp>
        <v>-10134523</v>
        <stp/>
        <stp>600459.SH</stp>
        <stp>rt_mid_inflow</stp>
        <stp>RT_Price</stp>
        <tr r="D44" s="1"/>
      </tp>
      <tp>
        <v>33669710</v>
        <stp/>
        <stp>000636.SZ</stp>
        <stp>rt_insti_buy_vol</stp>
        <stp>RT_Price</stp>
        <tr r="I31" s="1"/>
      </tp>
      <tp>
        <v>6.4100000000000004E-2</v>
        <stp/>
        <stp>000636.SZ</stp>
        <stp>rt_swing</stp>
        <stp>RT_Price</stp>
        <tr r="I17" s="1"/>
      </tp>
      <tp>
        <v>69.510000000000005</v>
        <stp/>
        <stp>000636.SZ</stp>
        <stp>rt_open</stp>
        <stp>RT_Price</stp>
        <tr r="I6" s="1"/>
      </tp>
      <tp>
        <v>76.3</v>
        <stp/>
        <stp>002475.SZ</stp>
        <stp>rt_high</stp>
        <stp>RT_Price</stp>
        <tr r="B7" s="1"/>
      </tp>
      <tp>
        <v>26.45</v>
        <stp/>
        <stp>600459.SH</stp>
        <stp>rt_high</stp>
        <stp>RT_Price</stp>
        <tr r="D7" s="1"/>
      </tp>
      <tp>
        <v>120.55</v>
        <stp/>
        <stp>600487.SH</stp>
        <stp>rt_high</stp>
        <stp>RT_Price</stp>
        <tr r="F7" s="1"/>
      </tp>
      <tp>
        <v>7667981</v>
        <stp/>
        <stp>600459.SH</stp>
        <stp>rt_mid_sell_vol</stp>
        <stp>RT_Price</stp>
        <tr r="D36" s="1"/>
      </tp>
      <tp>
        <v>564409</v>
        <stp/>
        <stp>600487.SH</stp>
        <stp>rt_mid_sell_vol</stp>
        <stp>RT_Price</stp>
        <tr r="F36" s="1"/>
      </tp>
      <tp>
        <v>199600</v>
        <stp/>
        <stp>002475.SZ</stp>
        <stp>rt_mid_sell_vol</stp>
        <stp>RT_Price</stp>
        <tr r="B36" s="1"/>
      </tp>
      <tp>
        <v>-1.4100000000000001E-2</v>
        <stp/>
        <stp>603211.SH</stp>
        <stp>rt_auctionChg</stp>
        <stp>RT_Price</stp>
        <tr r="G22" s="1"/>
      </tp>
      <tp>
        <v>2410243554</v>
        <stp/>
        <stp>000636.SZ</stp>
        <stp>rt_insti_buy_amt</stp>
        <stp>RT_Price</stp>
        <tr r="I46" s="1"/>
      </tp>
      <tp>
        <v>68.460000000000008</v>
        <stp/>
        <stp>002475.SZ</stp>
        <stp>rt_open</stp>
        <stp>RT_Price</stp>
        <tr r="B6" s="1"/>
      </tp>
      <tp>
        <v>73.5</v>
        <stp/>
        <stp>000636.SZ</stp>
        <stp>rt_high</stp>
        <stp>RT_Price</stp>
        <tr r="I7" s="1"/>
      </tp>
      <tp>
        <v>25.69</v>
        <stp/>
        <stp>600459.SH</stp>
        <stp>rt_open</stp>
        <stp>RT_Price</stp>
        <tr r="D6" s="1"/>
      </tp>
      <tp>
        <v>114.96000000000001</v>
        <stp/>
        <stp>600487.SH</stp>
        <stp>rt_open</stp>
        <stp>RT_Price</stp>
        <tr r="F6" s="1"/>
      </tp>
      <tp>
        <v>2415194</v>
        <stp/>
        <stp>000636.SZ</stp>
        <stp>rt_mid_sell_vol</stp>
        <stp>RT_Price</stp>
        <tr r="I36" s="1"/>
      </tp>
      <tp>
        <v>395214</v>
        <stp/>
        <stp>002384.SZ</stp>
        <stp>rt_mid_inflow</stp>
        <stp>RT_Price</stp>
        <tr r="C44" s="1"/>
      </tp>
      <tp t="s">
        <v>14:31:18</v>
        <stp/>
        <stp>002384.SZ</stp>
        <stp>rt_time</stp>
        <stp>RT_Price</stp>
        <tr r="C4" s="1"/>
      </tp>
      <tp>
        <v>168</v>
        <stp/>
        <stp>000988.SZ</stp>
        <stp>rt_high</stp>
        <stp>RT_Price</stp>
        <tr r="E7" s="1"/>
      </tp>
      <tp>
        <v>1226211</v>
        <stp/>
        <stp>000988.SZ</stp>
        <stp>rt_mid_sell_vol</stp>
        <stp>RT_Price</stp>
        <tr r="E36" s="1"/>
      </tp>
      <tp>
        <v>3358656</v>
        <stp/>
        <stp>002475.SZ</stp>
        <stp>rt_mid_inflow</stp>
        <stp>RT_Price</stp>
        <tr r="B44" s="1"/>
      </tp>
      <tp t="s">
        <v>14:31:19</v>
        <stp/>
        <stp>600206.SH</stp>
        <stp>rt_time</stp>
        <stp>RT_Price</stp>
        <tr r="H4" s="1"/>
      </tp>
      <tp t="s">
        <v>14:31:17</v>
        <stp/>
        <stp>603211.SH</stp>
        <stp>rt_time</stp>
        <stp>RT_Price</stp>
        <tr r="G4" s="1"/>
      </tp>
      <tp>
        <v>12400</v>
        <stp/>
        <stp>000988.SZ</stp>
        <stp>rt_indi_sell_vol</stp>
        <stp>RT_Price</stp>
        <tr r="E38" s="1"/>
      </tp>
      <tp>
        <v>100160035</v>
        <stp/>
        <stp>000636.SZ</stp>
        <stp>rt_mid_inflow</stp>
        <stp>RT_Price</stp>
        <tr r="I44" s="1"/>
      </tp>
      <tp>
        <v>76616106</v>
        <stp/>
        <stp>600206.SH</stp>
        <stp>rt_mid_inflow</stp>
        <stp>RT_Price</stp>
        <tr r="H44" s="1"/>
      </tp>
      <tp>
        <v>0</v>
        <stp/>
        <stp>002384.SZ</stp>
        <stp>rt_indi_sell_vol</stp>
        <stp>RT_Price</stp>
        <tr r="C38" s="1"/>
      </tp>
      <tp>
        <v>162</v>
        <stp/>
        <stp>000988.SZ</stp>
        <stp>rt_open</stp>
        <stp>RT_Price</stp>
        <tr r="E6" s="1"/>
      </tp>
      <tp>
        <v>4794497</v>
        <stp/>
        <stp>600487.SH</stp>
        <stp>rt_mid_inflow</stp>
        <stp>RT_Price</stp>
        <tr r="F44" s="1"/>
      </tp>
      <tp>
        <v>4322671297</v>
        <stp/>
        <stp>002384.SZ</stp>
        <stp>rt_insti_buy_amt</stp>
        <stp>RT_Price</stp>
        <tr r="C46" s="1"/>
      </tp>
      <tp>
        <v>2401434468</v>
        <stp/>
        <stp>000988.SZ</stp>
        <stp>rt_insti_buy_amt</stp>
        <stp>RT_Price</stp>
        <tr r="E46" s="1"/>
      </tp>
      <tp>
        <v>-20311872</v>
        <stp/>
        <stp>603211.SH</stp>
        <stp>rt_mid_inflow</stp>
        <stp>RT_Price</stp>
        <tr r="G44" s="1"/>
      </tp>
      <tp t="s">
        <v>14:31:18</v>
        <stp/>
        <stp>000636.SZ</stp>
        <stp>rt_time</stp>
        <stp>RT_Price</stp>
        <tr r="I4" s="1"/>
      </tp>
      <tp>
        <v>-1.6800000000000002E-2</v>
        <stp/>
        <stp>600459.SH</stp>
        <stp>rt_auctionChg</stp>
        <stp>RT_Price</stp>
        <tr r="D22" s="1"/>
      </tp>
      <tp>
        <v>14523504</v>
        <stp/>
        <stp>000988.SZ</stp>
        <stp>rt_insti_buy_vol</stp>
        <stp>RT_Price</stp>
        <tr r="E31" s="1"/>
      </tp>
      <tp>
        <v>16833470</v>
        <stp/>
        <stp>002384.SZ</stp>
        <stp>rt_insti_buy_vol</stp>
        <stp>RT_Price</stp>
        <tr r="C31" s="1"/>
      </tp>
      <tp>
        <v>3.5200000000000002E-2</v>
        <stp/>
        <stp>002384.SZ</stp>
        <stp>rt_swing</stp>
        <stp>RT_Price</stp>
        <tr r="C17" s="1"/>
      </tp>
      <tp>
        <v>4.0899999999999999E-2</v>
        <stp/>
        <stp>000988.SZ</stp>
        <stp>rt_swing</stp>
        <stp>RT_Price</stp>
        <tr r="E17" s="1"/>
      </tp>
      <tp>
        <v>-1.0100000000000001E-2</v>
        <stp/>
        <stp>000988.SZ</stp>
        <stp>rt_auctionChg</stp>
        <stp>RT_Price</stp>
        <tr r="E22" s="1"/>
      </tp>
      <tp t="s">
        <v>14:31:18</v>
        <stp/>
        <stp>002475.SZ</stp>
        <stp>rt_time</stp>
        <stp>RT_Price</stp>
        <tr r="B4" s="1"/>
      </tp>
      <tp t="s">
        <v>14:31:20</v>
        <stp/>
        <stp>600487.SH</stp>
        <stp>rt_time</stp>
        <stp>RT_Price</stp>
        <tr r="F4" s="1"/>
      </tp>
      <tp t="s">
        <v>14:31:18</v>
        <stp/>
        <stp>600459.SH</stp>
        <stp>rt_time</stp>
        <stp>RT_Price</stp>
        <tr r="D4" s="1"/>
      </tp>
      <tp>
        <v>-126124455</v>
        <stp/>
        <stp>600487.SH</stp>
        <stp>rt_vip_inflow</stp>
        <stp>RT_Price</stp>
        <tr r="F43" s="1"/>
      </tp>
      <tp>
        <v>2106550004</v>
        <stp/>
        <stp>600206.SH</stp>
        <stp>rt_insti_buy_amt</stp>
        <stp>RT_Price</stp>
        <tr r="H46" s="1"/>
      </tp>
      <tp>
        <v>-217064298</v>
        <stp/>
        <stp>002384.SZ</stp>
        <stp>rt_insti_inflow</stp>
        <stp>RT_Price</stp>
        <tr r="C42" s="1"/>
      </tp>
      <tp>
        <v>20260624</v>
        <stp/>
        <stp>600206.SH</stp>
        <stp>rt_date</stp>
        <stp>RT_Price</stp>
        <tr r="H3" s="1"/>
      </tp>
      <tp>
        <v>20260624</v>
        <stp/>
        <stp>603211.SH</stp>
        <stp>rt_date</stp>
        <stp>RT_Price</stp>
        <tr r="G3" s="1"/>
      </tp>
      <tp>
        <v>5684775</v>
        <stp/>
        <stp>600206.SH</stp>
        <stp>rt_vip_inflow</stp>
        <stp>RT_Price</stp>
        <tr r="H43" s="1"/>
      </tp>
      <tp>
        <v>200074532</v>
        <stp/>
        <stp>000636.SZ</stp>
        <stp>rt_vip_inflow</stp>
        <stp>RT_Price</stp>
        <tr r="I43" s="1"/>
      </tp>
      <tp>
        <v>4988360</v>
        <stp/>
        <stp>603211.SH</stp>
        <stp>rt_insti_buy_amt</stp>
        <stp>RT_Price</stp>
        <tr r="G46" s="1"/>
      </tp>
      <tp>
        <v>119.46000000000001</v>
        <stp/>
        <stp>600487.SH</stp>
        <stp>rt_last</stp>
        <stp>RT_Price</stp>
        <tr r="F8" s="1"/>
      </tp>
      <tp>
        <v>20260624</v>
        <stp/>
        <stp>002384.SZ</stp>
        <stp>rt_date</stp>
        <stp>RT_Price</stp>
        <tr r="C3" s="1"/>
      </tp>
      <tp>
        <v>25.740000000000002</v>
        <stp/>
        <stp>600459.SH</stp>
        <stp>rt_last</stp>
        <stp>RT_Price</stp>
        <tr r="D8" s="1"/>
      </tp>
      <tp>
        <v>-40425201</v>
        <stp/>
        <stp>600206.SH</stp>
        <stp>rt_insti_inflow</stp>
        <stp>RT_Price</stp>
        <tr r="H42" s="1"/>
      </tp>
      <tp>
        <v>-879300</v>
        <stp/>
        <stp>603211.SH</stp>
        <stp>rt_insti_inflow</stp>
        <stp>RT_Price</stp>
        <tr r="G42" s="1"/>
      </tp>
      <tp>
        <v>75.460000000000008</v>
        <stp/>
        <stp>002475.SZ</stp>
        <stp>rt_last</stp>
        <stp>RT_Price</stp>
        <tr r="B8" s="1"/>
      </tp>
      <tp>
        <v>13500</v>
        <stp/>
        <stp>000988.SZ</stp>
        <stp>rt_indi_buy_vol</stp>
        <stp>RT_Price</stp>
        <tr r="E37" s="1"/>
      </tp>
      <tp>
        <v>11221788</v>
        <stp/>
        <stp>600459.SH</stp>
        <stp>rt_vip_sell_vol</stp>
        <stp>RT_Price</stp>
        <tr r="D34" s="1"/>
      </tp>
      <tp>
        <v>15684115</v>
        <stp/>
        <stp>600487.SH</stp>
        <stp>rt_vip_sell_vol</stp>
        <stp>RT_Price</stp>
        <tr r="F34" s="1"/>
      </tp>
      <tp>
        <v>24826489</v>
        <stp/>
        <stp>002475.SZ</stp>
        <stp>rt_vip_sell_vol</stp>
        <stp>RT_Price</stp>
        <tr r="B34" s="1"/>
      </tp>
      <tp>
        <v>-352798087</v>
        <stp/>
        <stp>002475.SZ</stp>
        <stp>rt_vip_inflow</stp>
        <stp>RT_Price</stp>
        <tr r="B43" s="1"/>
      </tp>
      <tp>
        <v>43419382</v>
        <stp/>
        <stp>600206.SH</stp>
        <stp>rt_insti_buy_vol</stp>
        <stp>RT_Price</stp>
        <tr r="H31" s="1"/>
      </tp>
      <tp>
        <v>0.14830000000000002</v>
        <stp/>
        <stp>600206.SH</stp>
        <stp>rt_swing</stp>
        <stp>RT_Price</stp>
        <tr r="H17" s="1"/>
      </tp>
      <tp>
        <v>1815072</v>
        <stp/>
        <stp>600459.SH</stp>
        <stp>rt_indi_sell_vol</stp>
        <stp>RT_Price</stp>
        <tr r="D38" s="1"/>
      </tp>
      <tp>
        <v>29255403</v>
        <stp/>
        <stp>002384.SZ</stp>
        <stp>rt_vip_inflow</stp>
        <stp>RT_Price</stp>
        <tr r="C43" s="1"/>
      </tp>
      <tp>
        <v>137800</v>
        <stp/>
        <stp>603211.SH</stp>
        <stp>rt_insti_buy_vol</stp>
        <stp>RT_Price</stp>
        <tr r="G31" s="1"/>
      </tp>
      <tp>
        <v>6.0000000000000005E-2</v>
        <stp/>
        <stp>603211.SH</stp>
        <stp>rt_swing</stp>
        <stp>RT_Price</stp>
        <tr r="G17" s="1"/>
      </tp>
      <tp>
        <v>72.19</v>
        <stp/>
        <stp>000636.SZ</stp>
        <stp>rt_last</stp>
        <stp>RT_Price</stp>
        <tr r="I8" s="1"/>
      </tp>
      <tp>
        <v>19786142</v>
        <stp/>
        <stp>000636.SZ</stp>
        <stp>rt_vip_sell_vol</stp>
        <stp>RT_Price</stp>
        <tr r="I34" s="1"/>
      </tp>
      <tp>
        <v>20260624</v>
        <stp/>
        <stp>000636.SZ</stp>
        <stp>rt_date</stp>
        <stp>RT_Price</stp>
        <tr r="I3" s="1"/>
      </tp>
      <tp>
        <v>70777677</v>
        <stp/>
        <stp>600459.SH</stp>
        <stp>rt_insti_buy_amt</stp>
        <stp>RT_Price</stp>
        <tr r="D46" s="1"/>
      </tp>
      <tp>
        <v>57167552</v>
        <stp/>
        <stp>000636.SZ</stp>
        <stp>rt_insti_inflow</stp>
        <stp>RT_Price</stp>
        <tr r="I42" s="1"/>
      </tp>
      <tp>
        <v>-1E-4</v>
        <stp/>
        <stp>000988.SZ</stp>
        <stp>rt_pct_chg_5min</stp>
        <stp>RT_Price</stp>
        <tr r="E20" s="1"/>
      </tp>
      <tp>
        <v>-2.0000000000000001E-4</v>
        <stp/>
        <stp>000988.SZ</stp>
        <stp>rt_pct_chg_3min</stp>
        <stp>RT_Price</stp>
        <tr r="E19" s="1"/>
      </tp>
      <tp>
        <v>1E-4</v>
        <stp/>
        <stp>000988.SZ</stp>
        <stp>rt_pct_chg_1min</stp>
        <stp>RT_Price</stp>
        <tr r="E18" s="1"/>
      </tp>
      <tp>
        <v>-4761311</v>
        <stp/>
        <stp>603211.SH</stp>
        <stp>rt_vip_inflow</stp>
        <stp>RT_Price</stp>
        <tr r="G43" s="1"/>
      </tp>
      <tp>
        <v>185168</v>
        <stp/>
        <stp>600206.SH</stp>
        <stp>rt_indi_sell_vol</stp>
        <stp>RT_Price</stp>
        <tr r="H38" s="1"/>
      </tp>
      <tp>
        <v>20260624</v>
        <stp/>
        <stp>002475.SZ</stp>
        <stp>rt_date</stp>
        <stp>RT_Price</stp>
        <tr r="B3" s="1"/>
      </tp>
      <tp>
        <v>20260624</v>
        <stp/>
        <stp>600487.SH</stp>
        <stp>rt_date</stp>
        <stp>RT_Price</stp>
        <tr r="F3" s="1"/>
      </tp>
      <tp>
        <v>257.72000000000003</v>
        <stp/>
        <stp>002384.SZ</stp>
        <stp>rt_last</stp>
        <stp>RT_Price</stp>
        <tr r="C8" s="1"/>
      </tp>
      <tp>
        <v>20260624</v>
        <stp/>
        <stp>600459.SH</stp>
        <stp>rt_date</stp>
        <stp>RT_Price</stp>
        <tr r="D3" s="1"/>
      </tp>
      <tp>
        <v>7930980</v>
        <stp/>
        <stp>002384.SZ</stp>
        <stp>rt_vip_sell_vol</stp>
        <stp>RT_Price</stp>
        <tr r="C34" s="1"/>
      </tp>
      <tp>
        <v>1196000</v>
        <stp/>
        <stp>603211.SH</stp>
        <stp>rt_indi_sell_vol</stp>
        <stp>RT_Price</stp>
        <tr r="G38" s="1"/>
      </tp>
      <tp>
        <v>2759229</v>
        <stp/>
        <stp>600459.SH</stp>
        <stp>rt_insti_buy_vol</stp>
        <stp>RT_Price</stp>
        <tr r="D31" s="1"/>
      </tp>
      <tp>
        <v>4.82E-2</v>
        <stp/>
        <stp>600459.SH</stp>
        <stp>rt_swing</stp>
        <stp>RT_Price</stp>
        <tr r="D17" s="1"/>
      </tp>
      <tp>
        <v>4698939402</v>
        <stp/>
        <stp>002475.SZ</stp>
        <stp>rt_insti_inflow</stp>
        <stp>RT_Price</stp>
        <tr r="B42" s="1"/>
      </tp>
      <tp>
        <v>36.19</v>
        <stp/>
        <stp>603211.SH</stp>
        <stp>rt_last</stp>
        <stp>RT_Price</stp>
        <tr r="G8" s="1"/>
      </tp>
      <tp>
        <v>51.82</v>
        <stp/>
        <stp>600206.SH</stp>
        <stp>rt_last</stp>
        <stp>RT_Price</stp>
        <tr r="H8" s="1"/>
      </tp>
      <tp>
        <v>35930383</v>
        <stp/>
        <stp>600459.SH</stp>
        <stp>rt_insti_inflow</stp>
        <stp>RT_Price</stp>
        <tr r="D42" s="1"/>
      </tp>
      <tp>
        <v>59834217</v>
        <stp/>
        <stp>600487.SH</stp>
        <stp>rt_insti_inflow</stp>
        <stp>RT_Price</stp>
        <tr r="F42" s="1"/>
      </tp>
      <tp>
        <v>19913797</v>
        <stp/>
        <stp>600206.SH</stp>
        <stp>rt_vip_sell_vol</stp>
        <stp>RT_Price</stp>
        <tr r="H34" s="1"/>
      </tp>
      <tp>
        <v>1489700</v>
        <stp/>
        <stp>603211.SH</stp>
        <stp>rt_vip_sell_vol</stp>
        <stp>RT_Price</stp>
        <tr r="G34" s="1"/>
      </tp>
      <tp>
        <v>6835222424</v>
        <stp/>
        <stp>600487.SH</stp>
        <stp>rt_insti_buy_amt</stp>
        <stp>RT_Price</stp>
        <tr r="F46" s="1"/>
      </tp>
      <tp>
        <v>-5.0000000000000001E-4</v>
        <stp/>
        <stp>002475.SZ</stp>
        <stp>rt_pct_chg_3min</stp>
        <stp>RT_Price</stp>
        <tr r="B19" s="1"/>
      </tp>
      <tp>
        <v>-4.0000000000000002E-4</v>
        <stp/>
        <stp>002475.SZ</stp>
        <stp>rt_pct_chg_1min</stp>
        <stp>RT_Price</stp>
        <tr r="B18" s="1"/>
      </tp>
      <tp>
        <v>-2.8E-3</v>
        <stp/>
        <stp>002475.SZ</stp>
        <stp>rt_pct_chg_5min</stp>
        <stp>RT_Price</stp>
        <tr r="B20" s="1"/>
      </tp>
      <tp>
        <v>1.2000000000000001E-3</v>
        <stp/>
        <stp>600459.SH</stp>
        <stp>rt_pct_chg_5min</stp>
        <stp>RT_Price</stp>
        <tr r="D20" s="1"/>
      </tp>
      <tp>
        <v>1.2000000000000001E-3</v>
        <stp/>
        <stp>600459.SH</stp>
        <stp>rt_pct_chg_3min</stp>
        <stp>RT_Price</stp>
        <tr r="D19" s="1"/>
      </tp>
      <tp>
        <v>8.0000000000000004E-4</v>
        <stp/>
        <stp>600459.SH</stp>
        <stp>rt_pct_chg_1min</stp>
        <stp>RT_Price</stp>
        <tr r="D18" s="1"/>
      </tp>
      <tp>
        <v>0</v>
        <stp/>
        <stp>600487.SH</stp>
        <stp>rt_pct_chg_1min</stp>
        <stp>RT_Price</stp>
        <tr r="F18" s="1"/>
      </tp>
      <tp>
        <v>-1E-4</v>
        <stp/>
        <stp>600487.SH</stp>
        <stp>rt_pct_chg_3min</stp>
        <stp>RT_Price</stp>
        <tr r="F19" s="1"/>
      </tp>
      <tp>
        <v>8.0000000000000004E-4</v>
        <stp/>
        <stp>600487.SH</stp>
        <stp>rt_pct_chg_5min</stp>
        <stp>RT_Price</stp>
        <tr r="F20" s="1"/>
      </tp>
      <tp>
        <v>58024569</v>
        <stp/>
        <stp>600487.SH</stp>
        <stp>rt_insti_buy_vol</stp>
        <stp>RT_Price</stp>
        <tr r="F31" s="1"/>
      </tp>
      <tp>
        <v>5.8700000000000002E-2</v>
        <stp/>
        <stp>600487.SH</stp>
        <stp>rt_swing</stp>
        <stp>RT_Price</stp>
        <tr r="F17" s="1"/>
      </tp>
      <tp>
        <v>968900</v>
        <stp/>
        <stp>603211.SH</stp>
        <stp>rt_indi_buy_vol</stp>
        <stp>RT_Price</stp>
        <tr r="G37" s="1"/>
      </tp>
      <tp>
        <v>308786</v>
        <stp/>
        <stp>600206.SH</stp>
        <stp>rt_indi_buy_vol</stp>
        <stp>RT_Price</stp>
        <tr r="H37" s="1"/>
      </tp>
      <tp>
        <v>0</v>
        <stp/>
        <stp>000636.SZ</stp>
        <stp>rt_pct_chg_1min</stp>
        <stp>RT_Price</stp>
        <tr r="I18" s="1"/>
      </tp>
      <tp>
        <v>1.9E-3</v>
        <stp/>
        <stp>000636.SZ</stp>
        <stp>rt_pct_chg_3min</stp>
        <stp>RT_Price</stp>
        <tr r="I19" s="1"/>
      </tp>
      <tp>
        <v>-3.0000000000000003E-4</v>
        <stp/>
        <stp>000636.SZ</stp>
        <stp>rt_pct_chg_5min</stp>
        <stp>RT_Price</stp>
        <tr r="I20" s="1"/>
      </tp>
      <tp>
        <v>431778474</v>
        <stp/>
        <stp>000988.SZ</stp>
        <stp>rt_insti_inflow</stp>
        <stp>RT_Price</stp>
        <tr r="E42" s="1"/>
      </tp>
      <tp>
        <v>20260624</v>
        <stp/>
        <stp>000988.SZ</stp>
        <stp>rt_date</stp>
        <stp>RT_Price</stp>
        <tr r="E3" s="1"/>
      </tp>
      <tp>
        <v>700</v>
        <stp/>
        <stp>002384.SZ</stp>
        <stp>rt_indi_buy_vol</stp>
        <stp>RT_Price</stp>
        <tr r="C37" s="1"/>
      </tp>
      <tp>
        <v>1973694</v>
        <stp/>
        <stp>600459.SH</stp>
        <stp>rt_indi_buy_vol</stp>
        <stp>RT_Price</stp>
        <tr r="D37" s="1"/>
      </tp>
      <tp>
        <v>800</v>
        <stp/>
        <stp>600487.SH</stp>
        <stp>rt_indi_buy_vol</stp>
        <stp>RT_Price</stp>
        <tr r="F37" s="1"/>
      </tp>
      <tp>
        <v>0</v>
        <stp/>
        <stp>002475.SZ</stp>
        <stp>rt_indi_buy_vol</stp>
        <stp>RT_Price</stp>
        <tr r="B37" s="1"/>
      </tp>
      <tp>
        <v>167.86</v>
        <stp/>
        <stp>000988.SZ</stp>
        <stp>rt_last</stp>
        <stp>RT_Price</stp>
        <tr r="E8" s="1"/>
      </tp>
      <tp>
        <v>1.4703000000000002</v>
        <stp/>
        <stp>603211.SH</stp>
        <stp>rt_mf_ratio_5d</stp>
        <stp>RT_Price</stp>
        <tr r="G24" s="1"/>
      </tp>
      <tp>
        <v>10151355</v>
        <stp/>
        <stp>000988.SZ</stp>
        <stp>rt_vip_sell_vol</stp>
        <stp>RT_Price</stp>
        <tr r="E34" s="1"/>
      </tp>
      <tp>
        <v>1.0347999999999999</v>
        <stp/>
        <stp>002475.SZ</stp>
        <stp>rt_mf_ratio_5d</stp>
        <stp>RT_Price</stp>
        <tr r="B24" s="1"/>
      </tp>
      <tp>
        <v>-0.68820000000000003</v>
        <stp/>
        <stp>002384.SZ</stp>
        <stp>rt_mf_ratio_5d</stp>
        <stp>RT_Price</stp>
        <tr r="C24" s="1"/>
      </tp>
      <tp>
        <v>-91721654</v>
        <stp/>
        <stp>600459.SH</stp>
        <stp>rt_vip_inflow</stp>
        <stp>RT_Price</stp>
        <tr r="D43" s="1"/>
      </tp>
      <tp>
        <v>1000</v>
        <stp/>
        <stp>600487.SH</stp>
        <stp>rt_indi_sell_vol</stp>
        <stp>RT_Price</stp>
        <tr r="F38" s="1"/>
      </tp>
      <tp>
        <v>1.7000000000000001E-3</v>
        <stp/>
        <stp>603211.SH</stp>
        <stp>rt_pct_chg_5min</stp>
        <stp>RT_Price</stp>
        <tr r="G20" s="1"/>
      </tp>
      <tp>
        <v>8.0000000000000004E-4</v>
        <stp/>
        <stp>603211.SH</stp>
        <stp>rt_pct_chg_3min</stp>
        <stp>RT_Price</stp>
        <tr r="G19" s="1"/>
      </tp>
      <tp>
        <v>6.0000000000000006E-4</v>
        <stp/>
        <stp>603211.SH</stp>
        <stp>rt_pct_chg_1min</stp>
        <stp>RT_Price</stp>
        <tr r="G18" s="1"/>
      </tp>
      <tp>
        <v>4.0000000000000002E-4</v>
        <stp/>
        <stp>600206.SH</stp>
        <stp>rt_pct_chg_1min</stp>
        <stp>RT_Price</stp>
        <tr r="H18" s="1"/>
      </tp>
      <tp>
        <v>1.5E-3</v>
        <stp/>
        <stp>600206.SH</stp>
        <stp>rt_pct_chg_3min</stp>
        <stp>RT_Price</stp>
        <tr r="H19" s="1"/>
      </tp>
      <tp>
        <v>2.5000000000000001E-3</v>
        <stp/>
        <stp>600206.SH</stp>
        <stp>rt_pct_chg_5min</stp>
        <stp>RT_Price</stp>
        <tr r="H20" s="1"/>
      </tp>
      <tp>
        <v>48989</v>
        <stp/>
        <stp>000636.SZ</stp>
        <stp>rt_indi_buy_vol</stp>
        <stp>RT_Price</stp>
        <tr r="I37" s="1"/>
      </tp>
      <tp>
        <v>890872</v>
        <stp/>
        <stp>000988.SZ</stp>
        <stp>rt_vip_inflow</stp>
        <stp>RT_Price</stp>
        <tr r="E43" s="1"/>
      </tp>
      <tp>
        <v>1.6000000000000001E-3</v>
        <stp/>
        <stp>002384.SZ</stp>
        <stp>rt_pct_chg_3min</stp>
        <stp>RT_Price</stp>
        <tr r="C19" s="1"/>
      </tp>
      <tp>
        <v>5.0000000000000001E-4</v>
        <stp/>
        <stp>002384.SZ</stp>
        <stp>rt_pct_chg_1min</stp>
        <stp>RT_Price</stp>
        <tr r="C18" s="1"/>
      </tp>
      <tp>
        <v>6.9999999999999999E-4</v>
        <stp/>
        <stp>002384.SZ</stp>
        <stp>rt_pct_chg_5min</stp>
        <stp>RT_Price</stp>
        <tr r="C20" s="1"/>
      </tp>
      <tp>
        <v>-3.4149000000000003</v>
        <stp/>
        <stp>600459.SH</stp>
        <stp>rt_mf_ratio_5d</stp>
        <stp>RT_Price</stp>
        <tr r="D24" s="1"/>
      </tp>
      <tp>
        <v>0.15340000000000001</v>
        <stp/>
        <stp>600487.SH</stp>
        <stp>rt_mf_ratio_5d</stp>
        <stp>RT_Price</stp>
        <tr r="F24" s="1"/>
      </tp>
      <tp>
        <v>-1.4362000000000001</v>
        <stp/>
        <stp>000636.SZ</stp>
        <stp>rt_mf_ratio_5d</stp>
        <stp>RT_Price</stp>
        <tr r="I24" s="1"/>
      </tp>
      <tp>
        <v>1.6101000000000001</v>
        <stp/>
        <stp>600206.SH</stp>
        <stp>rt_mf_ratio_5d</stp>
        <stp>RT_Price</stp>
        <tr r="H24" s="1"/>
      </tp>
      <tp>
        <v>-5.8100000000000006E-2</v>
        <stp/>
        <stp>000988.SZ</stp>
        <stp>rt_mf_ratio_5d</stp>
        <stp>RT_Price</stp>
        <tr r="E24" s="1"/>
      </tp>
      <tp>
        <v>700</v>
        <stp/>
        <stp>002384.SZ</stp>
        <stp>rt_indi_netbuy_vol</stp>
        <stp>RT_Price</stp>
        <tr r="C41" s="1"/>
      </tp>
      <tp>
        <v>0</v>
        <stp/>
        <stp>002475.SZ</stp>
        <stp>rt_indi_netbuy_vol</stp>
        <stp>RT_Price</stp>
        <tr r="B41" s="1"/>
      </tp>
      <tp>
        <v>645369836</v>
        <stp/>
        <stp>600487.SH</stp>
        <stp>rt_mf_amt_5d</stp>
        <stp>RT_Price</stp>
        <tr r="F29" s="1"/>
      </tp>
      <tp>
        <v>-227100</v>
        <stp/>
        <stp>603211.SH</stp>
        <stp>rt_indi_netbuy_vol</stp>
        <stp>RT_Price</stp>
        <tr r="G41" s="1"/>
      </tp>
      <tp>
        <v>123618</v>
        <stp/>
        <stp>600206.SH</stp>
        <stp>rt_indi_netbuy_vol</stp>
        <stp>RT_Price</stp>
        <tr r="H41" s="1"/>
      </tp>
      <tp>
        <v>13789</v>
        <stp/>
        <stp>000636.SZ</stp>
        <stp>rt_indi_netbuy_vol</stp>
        <stp>RT_Price</stp>
        <tr r="I41" s="1"/>
      </tp>
      <tp>
        <v>-200</v>
        <stp/>
        <stp>600487.SH</stp>
        <stp>rt_indi_netbuy_vol</stp>
        <stp>RT_Price</stp>
        <tr r="F41" s="1"/>
      </tp>
      <tp>
        <v>158622</v>
        <stp/>
        <stp>600459.SH</stp>
        <stp>rt_indi_netbuy_vol</stp>
        <stp>RT_Price</stp>
        <tr r="D41" s="1"/>
      </tp>
      <tp>
        <v>1100</v>
        <stp/>
        <stp>000988.SZ</stp>
        <stp>rt_indi_netbuy_vol</stp>
        <stp>RT_Price</stp>
        <tr r="E41" s="1"/>
      </tp>
      <tp>
        <v>688477245</v>
        <stp/>
        <stp>600206.SH</stp>
        <stp>rt_mf_amt_5d</stp>
        <stp>RT_Price</stp>
        <tr r="H29" s="1"/>
      </tp>
      <tp>
        <v>140624033</v>
        <stp/>
        <stp>603211.SH</stp>
        <stp>rt_mf_amt_5d</stp>
        <stp>RT_Price</stp>
        <tr r="G29" s="1"/>
      </tp>
      <tp>
        <v>-675126188</v>
        <stp/>
        <stp>600459.SH</stp>
        <stp>rt_mf_amt_5d</stp>
        <stp>RT_Price</stp>
        <tr r="D29" s="1"/>
      </tp>
      <tp>
        <v>-2.19</v>
        <stp/>
        <stp>603211.SH</stp>
        <stp>rt_pct_chg</stp>
        <stp>RT_Price</stp>
        <tr r="G15" s="1"/>
      </tp>
      <tp>
        <v>8.7900000000000009</v>
        <stp/>
        <stp>002475.SZ</stp>
        <stp>rt_pct_chg</stp>
        <stp>RT_Price</stp>
        <tr r="B15" s="1"/>
      </tp>
      <tp>
        <v>1.06</v>
        <stp/>
        <stp>002384.SZ</stp>
        <stp>rt_pct_chg</stp>
        <stp>RT_Price</stp>
        <tr r="C15" s="1"/>
      </tp>
      <tp>
        <v>-1.49</v>
        <stp/>
        <stp>600459.SH</stp>
        <stp>rt_pct_chg</stp>
        <stp>RT_Price</stp>
        <tr r="D15" s="1"/>
      </tp>
      <tp>
        <v>1.83</v>
        <stp/>
        <stp>600487.SH</stp>
        <stp>rt_pct_chg</stp>
        <stp>RT_Price</stp>
        <tr r="F15" s="1"/>
      </tp>
      <tp>
        <v>2.8200000000000003</v>
        <stp/>
        <stp>000636.SZ</stp>
        <stp>rt_pct_chg</stp>
        <stp>RT_Price</stp>
        <tr r="I15" s="1"/>
      </tp>
      <tp>
        <v>7.1800000000000006</v>
        <stp/>
        <stp>600206.SH</stp>
        <stp>rt_pct_chg</stp>
        <stp>RT_Price</stp>
        <tr r="H15" s="1"/>
      </tp>
      <tp>
        <v>2.5700000000000003</v>
        <stp/>
        <stp>000988.SZ</stp>
        <stp>rt_pct_chg</stp>
        <stp>RT_Price</stp>
        <tr r="E15" s="1"/>
      </tp>
      <tp>
        <v>-2379353801</v>
        <stp/>
        <stp>002384.SZ</stp>
        <stp>rt_mf_amt_5d</stp>
        <stp>RT_Price</stp>
        <tr r="C29" s="1"/>
      </tp>
      <tp>
        <v>-76081895</v>
        <stp/>
        <stp>000988.SZ</stp>
        <stp>rt_mf_amt_5d</stp>
        <stp>RT_Price</stp>
        <tr r="E29" s="1"/>
      </tp>
      <tp>
        <v>0</v>
        <stp/>
        <stp>000988.SZ</stp>
        <stp>rt_activenetin_vol</stp>
        <stp>RT_Price</stp>
        <tr r="E50" s="1"/>
      </tp>
      <tp>
        <v>0</v>
        <stp/>
        <stp>000636.SZ</stp>
        <stp>rt_activenetin_vol</stp>
        <stp>RT_Price</stp>
        <tr r="I50" s="1"/>
      </tp>
      <tp>
        <v>0</v>
        <stp/>
        <stp>600487.SH</stp>
        <stp>rt_activenetin_vol</stp>
        <stp>RT_Price</stp>
        <tr r="F50" s="1"/>
      </tp>
      <tp>
        <v>0</v>
        <stp/>
        <stp>600459.SH</stp>
        <stp>rt_activenetin_vol</stp>
        <stp>RT_Price</stp>
        <tr r="D50" s="1"/>
      </tp>
      <tp>
        <v>0</v>
        <stp/>
        <stp>600206.SH</stp>
        <stp>rt_activenetin_vol</stp>
        <stp>RT_Price</stp>
        <tr r="H50" s="1"/>
      </tp>
      <tp>
        <v>0</v>
        <stp/>
        <stp>002475.SZ</stp>
        <stp>rt_activenetin_vol</stp>
        <stp>RT_Price</stp>
        <tr r="B50" s="1"/>
      </tp>
      <tp>
        <v>0</v>
        <stp/>
        <stp>002384.SZ</stp>
        <stp>rt_activenetin_vol</stp>
        <stp>RT_Price</stp>
        <tr r="C50" s="1"/>
      </tp>
      <tp>
        <v>0</v>
        <stp/>
        <stp>603211.SH</stp>
        <stp>rt_activenetin_vol</stp>
        <stp>RT_Price</stp>
        <tr r="G50" s="1"/>
      </tp>
      <tp>
        <v>5592300630</v>
        <stp/>
        <stp>002475.SZ</stp>
        <stp>rt_mf_amt_5d</stp>
        <stp>RT_Price</stp>
        <tr r="B29" s="1"/>
      </tp>
      <tp>
        <v>198465</v>
        <stp/>
        <stp>000988.SZ</stp>
        <stp>rt_mkt_vol</stp>
        <stp>RT_Price</stp>
        <tr r="E16" s="1"/>
      </tp>
      <tp>
        <v>347947</v>
        <stp/>
        <stp>000636.SZ</stp>
        <stp>rt_mkt_vol</stp>
        <stp>RT_Price</stp>
        <tr r="I16" s="1"/>
      </tp>
      <tp>
        <v>55460</v>
        <stp/>
        <stp>600459.SH</stp>
        <stp>rt_mkt_vol</stp>
        <stp>RT_Price</stp>
        <tr r="D16" s="1"/>
      </tp>
      <tp>
        <v>488258</v>
        <stp/>
        <stp>600487.SH</stp>
        <stp>rt_mkt_vol</stp>
        <stp>RT_Price</stp>
        <tr r="F16" s="1"/>
      </tp>
      <tp>
        <v>342110</v>
        <stp/>
        <stp>600206.SH</stp>
        <stp>rt_mkt_vol</stp>
        <stp>RT_Price</stp>
        <tr r="H16" s="1"/>
      </tp>
      <tp>
        <v>739298</v>
        <stp/>
        <stp>002475.SZ</stp>
        <stp>rt_mkt_vol</stp>
        <stp>RT_Price</stp>
        <tr r="B16" s="1"/>
      </tp>
      <tp>
        <v>234579</v>
        <stp/>
        <stp>002384.SZ</stp>
        <stp>rt_mkt_vol</stp>
        <stp>RT_Price</stp>
        <tr r="C16" s="1"/>
      </tp>
      <tp>
        <v>23742</v>
        <stp/>
        <stp>603211.SH</stp>
        <stp>rt_mkt_vol</stp>
        <stp>RT_Price</stp>
        <tr r="G16" s="1"/>
      </tp>
      <tp>
        <v>-1160855869</v>
        <stp/>
        <stp>000636.SZ</stp>
        <stp>rt_mf_amt_5d</stp>
        <stp>RT_Price</stp>
        <tr r="I2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31" workbookViewId="0">
      <selection activeCell="B50" sqref="B50"/>
    </sheetView>
  </sheetViews>
  <sheetFormatPr defaultRowHeight="13.8" x14ac:dyDescent="0.25"/>
  <cols>
    <col min="1" max="1" width="31.33203125" customWidth="1"/>
    <col min="2" max="6" width="21.77734375" customWidth="1"/>
    <col min="7" max="7" width="19" customWidth="1"/>
    <col min="8" max="8" width="14.44140625" customWidth="1"/>
    <col min="9" max="9" width="8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</v>
      </c>
      <c r="H1" s="1" t="s">
        <v>63</v>
      </c>
      <c r="I1" s="1" t="s">
        <v>65</v>
      </c>
    </row>
    <row r="2" spans="1:9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61</v>
      </c>
      <c r="H2" s="1" t="s">
        <v>62</v>
      </c>
      <c r="I2" s="1" t="s">
        <v>64</v>
      </c>
    </row>
    <row r="3" spans="1:9" x14ac:dyDescent="0.25">
      <c r="A3" s="1" t="s">
        <v>12</v>
      </c>
      <c r="B3" s="2">
        <f>RTD("wdf.rtq", ,B1, "rt_date","RT_Price")</f>
        <v>20260624</v>
      </c>
      <c r="C3" s="2">
        <f>RTD("wdf.rtq", ,C1, "rt_date","RT_Price")</f>
        <v>20260624</v>
      </c>
      <c r="D3" s="2">
        <f>RTD("wdf.rtq", ,D1, "rt_date","RT_Price")</f>
        <v>20260624</v>
      </c>
      <c r="E3" s="2">
        <f>RTD("wdf.rtq", ,E1, "rt_date","RT_Price")</f>
        <v>20260624</v>
      </c>
      <c r="F3" s="2">
        <f>RTD("wdf.rtq", ,F1, "rt_date","RT_Price")</f>
        <v>20260624</v>
      </c>
      <c r="G3" s="2">
        <f>RTD("wdf.rtq", ,G1, "rt_date","RT_Price")</f>
        <v>20260624</v>
      </c>
      <c r="H3" s="2">
        <f>RTD("wdf.rtq", ,H1, "rt_date","RT_Price")</f>
        <v>20260624</v>
      </c>
      <c r="I3" s="2">
        <f>RTD("wdf.rtq", ,I1, "rt_date","RT_Price")</f>
        <v>20260624</v>
      </c>
    </row>
    <row r="4" spans="1:9" x14ac:dyDescent="0.25">
      <c r="A4" s="1" t="s">
        <v>13</v>
      </c>
      <c r="B4" s="3" t="str">
        <f>RTD("wdf.rtq", ,B1, "rt_time","RT_Price")</f>
        <v>14:31:18</v>
      </c>
      <c r="C4" s="3" t="str">
        <f>RTD("wdf.rtq", ,C1, "rt_time","RT_Price")</f>
        <v>14:31:18</v>
      </c>
      <c r="D4" s="3" t="str">
        <f>RTD("wdf.rtq", ,D1, "rt_time","RT_Price")</f>
        <v>14:31:18</v>
      </c>
      <c r="E4" s="3" t="str">
        <f>RTD("wdf.rtq", ,E1, "rt_time","RT_Price")</f>
        <v>14:31:18</v>
      </c>
      <c r="F4" s="3" t="str">
        <f>RTD("wdf.rtq", ,F1, "rt_time","RT_Price")</f>
        <v>14:31:20</v>
      </c>
      <c r="G4" s="3" t="str">
        <f>RTD("wdf.rtq", ,G1, "rt_time","RT_Price")</f>
        <v>14:31:17</v>
      </c>
      <c r="H4" s="3" t="str">
        <f>RTD("wdf.rtq", ,H1, "rt_time","RT_Price")</f>
        <v>14:31:19</v>
      </c>
      <c r="I4" s="3" t="str">
        <f>RTD("wdf.rtq", ,I1, "rt_time","RT_Price")</f>
        <v>14:31:18</v>
      </c>
    </row>
    <row r="5" spans="1:9" x14ac:dyDescent="0.25">
      <c r="A5" s="1" t="s">
        <v>14</v>
      </c>
      <c r="B5" s="3">
        <f>RTD("wdf.rtq", ,B1, "rt_pre_close","RT_Price")</f>
        <v>69.36</v>
      </c>
      <c r="C5" s="3">
        <f>RTD("wdf.rtq", ,C1, "rt_pre_close","RT_Price")</f>
        <v>255.02</v>
      </c>
      <c r="D5" s="3">
        <f>RTD("wdf.rtq", ,D1, "rt_pre_close","RT_Price")</f>
        <v>26.13</v>
      </c>
      <c r="E5" s="3">
        <f>RTD("wdf.rtq", ,E1, "rt_pre_close","RT_Price")</f>
        <v>163.66</v>
      </c>
      <c r="F5" s="3">
        <f>RTD("wdf.rtq", ,F1, "rt_pre_close","RT_Price")</f>
        <v>117.31</v>
      </c>
      <c r="G5" s="3">
        <f>RTD("wdf.rtq", ,G1, "rt_pre_close","RT_Price")</f>
        <v>37</v>
      </c>
      <c r="H5" s="3">
        <f>RTD("wdf.rtq", ,H1, "rt_pre_close","RT_Price")</f>
        <v>48.35</v>
      </c>
      <c r="I5" s="3">
        <f>RTD("wdf.rtq", ,I1, "rt_pre_close","RT_Price")</f>
        <v>70.210000000000008</v>
      </c>
    </row>
    <row r="6" spans="1:9" x14ac:dyDescent="0.25">
      <c r="A6" s="1" t="s">
        <v>15</v>
      </c>
      <c r="B6" s="3">
        <f>RTD("wdf.rtq", ,B1, "rt_open","RT_Price")</f>
        <v>68.460000000000008</v>
      </c>
      <c r="C6" s="3">
        <f>RTD("wdf.rtq", ,C1, "rt_open","RT_Price")</f>
        <v>252.14000000000001</v>
      </c>
      <c r="D6" s="3">
        <f>RTD("wdf.rtq", ,D1, "rt_open","RT_Price")</f>
        <v>25.69</v>
      </c>
      <c r="E6" s="3">
        <f>RTD("wdf.rtq", ,E1, "rt_open","RT_Price")</f>
        <v>162</v>
      </c>
      <c r="F6" s="3">
        <f>RTD("wdf.rtq", ,F1, "rt_open","RT_Price")</f>
        <v>114.96000000000001</v>
      </c>
      <c r="G6" s="3">
        <f>RTD("wdf.rtq", ,G1, "rt_open","RT_Price")</f>
        <v>36.480000000000004</v>
      </c>
      <c r="H6" s="3">
        <f>RTD("wdf.rtq", ,H1, "rt_open","RT_Price")</f>
        <v>47</v>
      </c>
      <c r="I6" s="3">
        <f>RTD("wdf.rtq", ,I1, "rt_open","RT_Price")</f>
        <v>69.510000000000005</v>
      </c>
    </row>
    <row r="7" spans="1:9" x14ac:dyDescent="0.25">
      <c r="A7" s="1" t="s">
        <v>16</v>
      </c>
      <c r="B7" s="3">
        <f>RTD("wdf.rtq", ,B1, "rt_high","RT_Price")</f>
        <v>76.3</v>
      </c>
      <c r="C7" s="3">
        <f>RTD("wdf.rtq", ,C1, "rt_high","RT_Price")</f>
        <v>260.97000000000003</v>
      </c>
      <c r="D7" s="3">
        <f>RTD("wdf.rtq", ,D1, "rt_high","RT_Price")</f>
        <v>26.45</v>
      </c>
      <c r="E7" s="3">
        <f>RTD("wdf.rtq", ,E1, "rt_high","RT_Price")</f>
        <v>168</v>
      </c>
      <c r="F7" s="3">
        <f>RTD("wdf.rtq", ,F1, "rt_high","RT_Price")</f>
        <v>120.55</v>
      </c>
      <c r="G7" s="3">
        <f>RTD("wdf.rtq", ,G1, "rt_high","RT_Price")</f>
        <v>37.800000000000004</v>
      </c>
      <c r="H7" s="3">
        <f>RTD("wdf.rtq", ,H1, "rt_high","RT_Price")</f>
        <v>52.22</v>
      </c>
      <c r="I7" s="3">
        <f>RTD("wdf.rtq", ,I1, "rt_high","RT_Price")</f>
        <v>73.5</v>
      </c>
    </row>
    <row r="8" spans="1:9" x14ac:dyDescent="0.25">
      <c r="A8" s="1" t="s">
        <v>17</v>
      </c>
      <c r="B8" s="3">
        <f>RTD("wdf.rtq", ,B1, "rt_last","RT_Price")</f>
        <v>75.460000000000008</v>
      </c>
      <c r="C8" s="3">
        <f>RTD("wdf.rtq", ,C1, "rt_last","RT_Price")</f>
        <v>257.72000000000003</v>
      </c>
      <c r="D8" s="3">
        <f>RTD("wdf.rtq", ,D1, "rt_last","RT_Price")</f>
        <v>25.740000000000002</v>
      </c>
      <c r="E8" s="3">
        <f>RTD("wdf.rtq", ,E1, "rt_last","RT_Price")</f>
        <v>167.86</v>
      </c>
      <c r="F8" s="3">
        <f>RTD("wdf.rtq", ,F1, "rt_last","RT_Price")</f>
        <v>119.46000000000001</v>
      </c>
      <c r="G8" s="3">
        <f>RTD("wdf.rtq", ,G1, "rt_last","RT_Price")</f>
        <v>36.19</v>
      </c>
      <c r="H8" s="3">
        <f>RTD("wdf.rtq", ,H1, "rt_last","RT_Price")</f>
        <v>51.82</v>
      </c>
      <c r="I8" s="3">
        <f>RTD("wdf.rtq", ,I1, "rt_last","RT_Price")</f>
        <v>72.19</v>
      </c>
    </row>
    <row r="9" spans="1:9" x14ac:dyDescent="0.25">
      <c r="A9" s="1" t="s">
        <v>18</v>
      </c>
      <c r="B9" s="3">
        <f>RTD("wdf.rtq", ,B1, "rt_last_amt","RT_Price")</f>
        <v>732038</v>
      </c>
      <c r="C9" s="3">
        <f>RTD("wdf.rtq", ,C1, "rt_last_amt","RT_Price")</f>
        <v>206177</v>
      </c>
      <c r="D9" s="3">
        <f>RTD("wdf.rtq", ,D1, "rt_last_amt","RT_Price")</f>
        <v>41184</v>
      </c>
      <c r="E9" s="3">
        <f>RTD("wdf.rtq", ,E1, "rt_last_amt","RT_Price")</f>
        <v>201439</v>
      </c>
      <c r="F9" s="3">
        <f>RTD("wdf.rtq", ,F1, "rt_last_amt","RT_Price")</f>
        <v>1075168</v>
      </c>
      <c r="G9" s="3">
        <f>RTD("wdf.rtq", ,G1, "rt_last_amt","RT_Price")</f>
        <v>57892</v>
      </c>
      <c r="H9" s="3">
        <f>RTD("wdf.rtq", ,H1, "rt_last_amt","RT_Price")</f>
        <v>870557</v>
      </c>
      <c r="I9" s="3">
        <f>RTD("wdf.rtq", ,I1, "rt_last_amt","RT_Price")</f>
        <v>4517675</v>
      </c>
    </row>
    <row r="10" spans="1:9" x14ac:dyDescent="0.25">
      <c r="A10" s="1" t="s">
        <v>19</v>
      </c>
      <c r="B10" s="3">
        <f>RTD("wdf.rtq", ,B1, "rt_last_vol","RT_Price")</f>
        <v>9700</v>
      </c>
      <c r="C10" s="3">
        <f>RTD("wdf.rtq", ,C1, "rt_last_vol","RT_Price")</f>
        <v>800</v>
      </c>
      <c r="D10" s="3">
        <f>RTD("wdf.rtq", ,D1, "rt_last_vol","RT_Price")</f>
        <v>1600</v>
      </c>
      <c r="E10" s="3">
        <f>RTD("wdf.rtq", ,E1, "rt_last_vol","RT_Price")</f>
        <v>1200</v>
      </c>
      <c r="F10" s="3">
        <f>RTD("wdf.rtq", ,F1, "rt_last_vol","RT_Price")</f>
        <v>9000</v>
      </c>
      <c r="G10" s="3">
        <f>RTD("wdf.rtq", ,G1, "rt_last_vol","RT_Price")</f>
        <v>1600</v>
      </c>
      <c r="H10" s="3">
        <f>RTD("wdf.rtq", ,H1, "rt_last_vol","RT_Price")</f>
        <v>16800</v>
      </c>
      <c r="I10" s="3">
        <f>RTD("wdf.rtq", ,I1, "rt_last_vol","RT_Price")</f>
        <v>62600</v>
      </c>
    </row>
    <row r="11" spans="1:9" x14ac:dyDescent="0.25">
      <c r="A11" s="1" t="s">
        <v>20</v>
      </c>
      <c r="B11" s="3">
        <f>RTD("wdf.rtq", ,B1, "rt_latest","RT_Price")</f>
        <v>75.460000000000008</v>
      </c>
      <c r="C11" s="3">
        <f>RTD("wdf.rtq", ,C1, "rt_latest","RT_Price")</f>
        <v>257.72000000000003</v>
      </c>
      <c r="D11" s="3">
        <f>RTD("wdf.rtq", ,D1, "rt_latest","RT_Price")</f>
        <v>25.740000000000002</v>
      </c>
      <c r="E11" s="3">
        <f>RTD("wdf.rtq", ,E1, "rt_latest","RT_Price")</f>
        <v>167.86</v>
      </c>
      <c r="F11" s="3">
        <f>RTD("wdf.rtq", ,F1, "rt_latest","RT_Price")</f>
        <v>119.46000000000001</v>
      </c>
      <c r="G11" s="3">
        <f>RTD("wdf.rtq", ,G1, "rt_latest","RT_Price")</f>
        <v>36.19</v>
      </c>
      <c r="H11" s="3">
        <f>RTD("wdf.rtq", ,H1, "rt_latest","RT_Price")</f>
        <v>51.82</v>
      </c>
      <c r="I11" s="3">
        <f>RTD("wdf.rtq", ,I1, "rt_latest","RT_Price")</f>
        <v>72.19</v>
      </c>
    </row>
    <row r="12" spans="1:9" x14ac:dyDescent="0.25">
      <c r="A12" s="1" t="s">
        <v>21</v>
      </c>
      <c r="B12" s="3">
        <f>RTD("wdf.rtq", ,B1, "rt_vol","RT_Price")</f>
        <v>375987918</v>
      </c>
      <c r="C12" s="3">
        <f>RTD("wdf.rtq", ,C1, "rt_vol","RT_Price")</f>
        <v>51760285</v>
      </c>
      <c r="D12" s="3">
        <f>RTD("wdf.rtq", ,D1, "rt_vol","RT_Price")</f>
        <v>42132240</v>
      </c>
      <c r="E12" s="3">
        <f>RTD("wdf.rtq", ,E1, "rt_vol","RT_Price")</f>
        <v>49841238</v>
      </c>
      <c r="F12" s="3">
        <f>RTD("wdf.rtq", ,F1, "rt_vol","RT_Price")</f>
        <v>148977718</v>
      </c>
      <c r="G12" s="3">
        <f>RTD("wdf.rtq", ,G1, "rt_vol","RT_Price")</f>
        <v>9032974</v>
      </c>
      <c r="H12" s="3">
        <f>RTD("wdf.rtq", ,H1, "rt_vol","RT_Price")</f>
        <v>141578907</v>
      </c>
      <c r="I12" s="3">
        <f>RTD("wdf.rtq", ,I1, "rt_vol","RT_Price")</f>
        <v>116151109</v>
      </c>
    </row>
    <row r="13" spans="1:9" x14ac:dyDescent="0.25">
      <c r="A13" s="1" t="s">
        <v>22</v>
      </c>
      <c r="B13" s="3">
        <f>RTD("wdf.rtq", ,B1, "rt_amt","RT_Price")</f>
        <v>27371778753</v>
      </c>
      <c r="C13" s="3">
        <f>RTD("wdf.rtq", ,C1, "rt_amt","RT_Price")</f>
        <v>13274464505</v>
      </c>
      <c r="D13" s="3">
        <f>RTD("wdf.rtq", ,D1, "rt_amt","RT_Price")</f>
        <v>1079996208</v>
      </c>
      <c r="E13" s="3">
        <f>RTD("wdf.rtq", ,E1, "rt_amt","RT_Price")</f>
        <v>8249936011</v>
      </c>
      <c r="F13" s="3">
        <f>RTD("wdf.rtq", ,F1, "rt_amt","RT_Price")</f>
        <v>17498817819</v>
      </c>
      <c r="G13" s="3">
        <f>RTD("wdf.rtq", ,G1, "rt_amt","RT_Price")</f>
        <v>329419973</v>
      </c>
      <c r="H13" s="3">
        <f>RTD("wdf.rtq", ,H1, "rt_amt","RT_Price")</f>
        <v>6959163053</v>
      </c>
      <c r="I13" s="3">
        <f>RTD("wdf.rtq", ,I1, "rt_amt","RT_Price")</f>
        <v>8305958953</v>
      </c>
    </row>
    <row r="14" spans="1:9" x14ac:dyDescent="0.25">
      <c r="A14" s="1" t="s">
        <v>23</v>
      </c>
      <c r="B14" s="3">
        <f>RTD("wdf.rtq", ,B1, "rt_chg","RT_Price")</f>
        <v>6.1000000000000005</v>
      </c>
      <c r="C14" s="3">
        <f>RTD("wdf.rtq", ,C1, "rt_chg","RT_Price")</f>
        <v>2.7</v>
      </c>
      <c r="D14" s="3">
        <f>RTD("wdf.rtq", ,D1, "rt_chg","RT_Price")</f>
        <v>-0.39</v>
      </c>
      <c r="E14" s="3">
        <f>RTD("wdf.rtq", ,E1, "rt_chg","RT_Price")</f>
        <v>4.2</v>
      </c>
      <c r="F14" s="3">
        <f>RTD("wdf.rtq", ,F1, "rt_chg","RT_Price")</f>
        <v>2.15</v>
      </c>
      <c r="G14" s="3">
        <f>RTD("wdf.rtq", ,G1, "rt_chg","RT_Price")</f>
        <v>-0.81</v>
      </c>
      <c r="H14" s="3">
        <f>RTD("wdf.rtq", ,H1, "rt_chg","RT_Price")</f>
        <v>3.47</v>
      </c>
      <c r="I14" s="3">
        <f>RTD("wdf.rtq", ,I1, "rt_chg","RT_Price")</f>
        <v>1.98</v>
      </c>
    </row>
    <row r="15" spans="1:9" x14ac:dyDescent="0.25">
      <c r="A15" s="1" t="s">
        <v>24</v>
      </c>
      <c r="B15" s="3">
        <f>RTD("wdf.rtq", ,B1, "rt_pct_chg","RT_Price")</f>
        <v>8.7900000000000009</v>
      </c>
      <c r="C15" s="3">
        <f>RTD("wdf.rtq", ,C1, "rt_pct_chg","RT_Price")</f>
        <v>1.06</v>
      </c>
      <c r="D15" s="3">
        <f>RTD("wdf.rtq", ,D1, "rt_pct_chg","RT_Price")</f>
        <v>-1.49</v>
      </c>
      <c r="E15" s="3">
        <f>RTD("wdf.rtq", ,E1, "rt_pct_chg","RT_Price")</f>
        <v>2.5700000000000003</v>
      </c>
      <c r="F15" s="3">
        <f>RTD("wdf.rtq", ,F1, "rt_pct_chg","RT_Price")</f>
        <v>1.83</v>
      </c>
      <c r="G15" s="3">
        <f>RTD("wdf.rtq", ,G1, "rt_pct_chg","RT_Price")</f>
        <v>-2.19</v>
      </c>
      <c r="H15" s="3">
        <f>RTD("wdf.rtq", ,H1, "rt_pct_chg","RT_Price")</f>
        <v>7.1800000000000006</v>
      </c>
      <c r="I15" s="3">
        <f>RTD("wdf.rtq", ,I1, "rt_pct_chg","RT_Price")</f>
        <v>2.8200000000000003</v>
      </c>
    </row>
    <row r="16" spans="1:9" x14ac:dyDescent="0.25">
      <c r="A16" s="1" t="s">
        <v>25</v>
      </c>
      <c r="B16" s="3">
        <f>RTD("wdf.rtq", ,B1, "rt_mkt_vol","RT_Price")</f>
        <v>739298</v>
      </c>
      <c r="C16" s="3">
        <f>RTD("wdf.rtq", ,C1, "rt_mkt_vol","RT_Price")</f>
        <v>234579</v>
      </c>
      <c r="D16" s="3">
        <f>RTD("wdf.rtq", ,D1, "rt_mkt_vol","RT_Price")</f>
        <v>55460</v>
      </c>
      <c r="E16" s="3">
        <f>RTD("wdf.rtq", ,E1, "rt_mkt_vol","RT_Price")</f>
        <v>198465</v>
      </c>
      <c r="F16" s="3">
        <f>RTD("wdf.rtq", ,F1, "rt_mkt_vol","RT_Price")</f>
        <v>488258</v>
      </c>
      <c r="G16" s="3">
        <f>RTD("wdf.rtq", ,G1, "rt_mkt_vol","RT_Price")</f>
        <v>23742</v>
      </c>
      <c r="H16" s="3">
        <f>RTD("wdf.rtq", ,H1, "rt_mkt_vol","RT_Price")</f>
        <v>342110</v>
      </c>
      <c r="I16" s="3">
        <f>RTD("wdf.rtq", ,I1, "rt_mkt_vol","RT_Price")</f>
        <v>347947</v>
      </c>
    </row>
    <row r="17" spans="1:9" x14ac:dyDescent="0.25">
      <c r="A17" s="1" t="s">
        <v>26</v>
      </c>
      <c r="B17" s="3">
        <f>RTD("wdf.rtq", ,B1, "rt_swing","RT_Price")</f>
        <v>0.1419</v>
      </c>
      <c r="C17" s="3">
        <f>RTD("wdf.rtq", ,C1, "rt_swing","RT_Price")</f>
        <v>3.5200000000000002E-2</v>
      </c>
      <c r="D17" s="3">
        <f>RTD("wdf.rtq", ,D1, "rt_swing","RT_Price")</f>
        <v>4.82E-2</v>
      </c>
      <c r="E17" s="3">
        <f>RTD("wdf.rtq", ,E1, "rt_swing","RT_Price")</f>
        <v>4.0899999999999999E-2</v>
      </c>
      <c r="F17" s="3">
        <f>RTD("wdf.rtq", ,F1, "rt_swing","RT_Price")</f>
        <v>5.8700000000000002E-2</v>
      </c>
      <c r="G17" s="3">
        <f>RTD("wdf.rtq", ,G1, "rt_swing","RT_Price")</f>
        <v>6.0000000000000005E-2</v>
      </c>
      <c r="H17" s="3">
        <f>RTD("wdf.rtq", ,H1, "rt_swing","RT_Price")</f>
        <v>0.14830000000000002</v>
      </c>
      <c r="I17" s="3">
        <f>RTD("wdf.rtq", ,I1, "rt_swing","RT_Price")</f>
        <v>6.4100000000000004E-2</v>
      </c>
    </row>
    <row r="18" spans="1:9" x14ac:dyDescent="0.25">
      <c r="A18" s="1" t="s">
        <v>27</v>
      </c>
      <c r="B18" s="3">
        <f>RTD("wdf.rtq", ,B1, "rt_pct_chg_1min","RT_Price")</f>
        <v>-4.0000000000000002E-4</v>
      </c>
      <c r="C18" s="3">
        <f>RTD("wdf.rtq", ,C1, "rt_pct_chg_1min","RT_Price")</f>
        <v>5.0000000000000001E-4</v>
      </c>
      <c r="D18" s="3">
        <f>RTD("wdf.rtq", ,D1, "rt_pct_chg_1min","RT_Price")</f>
        <v>8.0000000000000004E-4</v>
      </c>
      <c r="E18" s="3">
        <f>RTD("wdf.rtq", ,E1, "rt_pct_chg_1min","RT_Price")</f>
        <v>1E-4</v>
      </c>
      <c r="F18" s="3">
        <f>RTD("wdf.rtq", ,F1, "rt_pct_chg_1min","RT_Price")</f>
        <v>0</v>
      </c>
      <c r="G18" s="3">
        <f>RTD("wdf.rtq", ,G1, "rt_pct_chg_1min","RT_Price")</f>
        <v>6.0000000000000006E-4</v>
      </c>
      <c r="H18" s="3">
        <f>RTD("wdf.rtq", ,H1, "rt_pct_chg_1min","RT_Price")</f>
        <v>4.0000000000000002E-4</v>
      </c>
      <c r="I18" s="3">
        <f>RTD("wdf.rtq", ,I1, "rt_pct_chg_1min","RT_Price")</f>
        <v>0</v>
      </c>
    </row>
    <row r="19" spans="1:9" x14ac:dyDescent="0.25">
      <c r="A19" s="1" t="s">
        <v>28</v>
      </c>
      <c r="B19" s="3">
        <f>RTD("wdf.rtq", ,B1, "rt_pct_chg_3min","RT_Price")</f>
        <v>-5.0000000000000001E-4</v>
      </c>
      <c r="C19" s="3">
        <f>RTD("wdf.rtq", ,C1, "rt_pct_chg_3min","RT_Price")</f>
        <v>1.6000000000000001E-3</v>
      </c>
      <c r="D19" s="3">
        <f>RTD("wdf.rtq", ,D1, "rt_pct_chg_3min","RT_Price")</f>
        <v>1.2000000000000001E-3</v>
      </c>
      <c r="E19" s="3">
        <f>RTD("wdf.rtq", ,E1, "rt_pct_chg_3min","RT_Price")</f>
        <v>-2.0000000000000001E-4</v>
      </c>
      <c r="F19" s="3">
        <f>RTD("wdf.rtq", ,F1, "rt_pct_chg_3min","RT_Price")</f>
        <v>-1E-4</v>
      </c>
      <c r="G19" s="3">
        <f>RTD("wdf.rtq", ,G1, "rt_pct_chg_3min","RT_Price")</f>
        <v>8.0000000000000004E-4</v>
      </c>
      <c r="H19" s="3">
        <f>RTD("wdf.rtq", ,H1, "rt_pct_chg_3min","RT_Price")</f>
        <v>1.5E-3</v>
      </c>
      <c r="I19" s="3">
        <f>RTD("wdf.rtq", ,I1, "rt_pct_chg_3min","RT_Price")</f>
        <v>1.9E-3</v>
      </c>
    </row>
    <row r="20" spans="1:9" x14ac:dyDescent="0.25">
      <c r="A20" s="1" t="s">
        <v>29</v>
      </c>
      <c r="B20" s="3">
        <f>RTD("wdf.rtq", ,B1, "rt_pct_chg_5min","RT_Price")</f>
        <v>-2.8E-3</v>
      </c>
      <c r="C20" s="3">
        <f>RTD("wdf.rtq", ,C1, "rt_pct_chg_5min","RT_Price")</f>
        <v>6.9999999999999999E-4</v>
      </c>
      <c r="D20" s="3">
        <f>RTD("wdf.rtq", ,D1, "rt_pct_chg_5min","RT_Price")</f>
        <v>1.2000000000000001E-3</v>
      </c>
      <c r="E20" s="3">
        <f>RTD("wdf.rtq", ,E1, "rt_pct_chg_5min","RT_Price")</f>
        <v>-1E-4</v>
      </c>
      <c r="F20" s="3">
        <f>RTD("wdf.rtq", ,F1, "rt_pct_chg_5min","RT_Price")</f>
        <v>8.0000000000000004E-4</v>
      </c>
      <c r="G20" s="3">
        <f>RTD("wdf.rtq", ,G1, "rt_pct_chg_5min","RT_Price")</f>
        <v>1.7000000000000001E-3</v>
      </c>
      <c r="H20" s="3">
        <f>RTD("wdf.rtq", ,H1, "rt_pct_chg_5min","RT_Price")</f>
        <v>2.5000000000000001E-3</v>
      </c>
      <c r="I20" s="3">
        <f>RTD("wdf.rtq", ,I1, "rt_pct_chg_5min","RT_Price")</f>
        <v>-3.0000000000000003E-4</v>
      </c>
    </row>
    <row r="21" spans="1:9" x14ac:dyDescent="0.25">
      <c r="A21" s="1" t="s">
        <v>30</v>
      </c>
      <c r="B21" s="3">
        <f>RTD("wdf.rtq", ,B1, "rt_pct_chg_5d","RT_Price")</f>
        <v>0.12190000000000001</v>
      </c>
      <c r="C21" s="3">
        <f>RTD("wdf.rtq", ,C1, "rt_pct_chg_5d","RT_Price")</f>
        <v>3.4800000000000005E-2</v>
      </c>
      <c r="D21" s="3">
        <f>RTD("wdf.rtq", ,D1, "rt_pct_chg_5d","RT_Price")</f>
        <v>-7.010000000000001E-2</v>
      </c>
      <c r="E21" s="3">
        <f>RTD("wdf.rtq", ,E1, "rt_pct_chg_5d","RT_Price")</f>
        <v>2.35E-2</v>
      </c>
      <c r="F21" s="3">
        <f>RTD("wdf.rtq", ,F1, "rt_pct_chg_5d","RT_Price")</f>
        <v>0.11130000000000001</v>
      </c>
      <c r="G21" s="3">
        <f>RTD("wdf.rtq", ,G1, "rt_pct_chg_5d","RT_Price")</f>
        <v>0.14419999999999999</v>
      </c>
      <c r="H21" s="3">
        <f>RTD("wdf.rtq", ,H1, "rt_pct_chg_5d","RT_Price")</f>
        <v>0.32500000000000001</v>
      </c>
      <c r="I21" s="3">
        <f>RTD("wdf.rtq", ,I1, "rt_pct_chg_5d","RT_Price")</f>
        <v>2.24E-2</v>
      </c>
    </row>
    <row r="22" spans="1:9" x14ac:dyDescent="0.25">
      <c r="A22" s="1" t="s">
        <v>31</v>
      </c>
      <c r="B22" s="3">
        <f>RTD("wdf.rtq", ,B1, "rt_auctionChg","RT_Price")</f>
        <v>-1.3000000000000001E-2</v>
      </c>
      <c r="C22" s="3">
        <f>RTD("wdf.rtq", ,C1, "rt_auctionChg","RT_Price")</f>
        <v>-1.1300000000000001E-2</v>
      </c>
      <c r="D22" s="3">
        <f>RTD("wdf.rtq", ,D1, "rt_auctionChg","RT_Price")</f>
        <v>-1.6800000000000002E-2</v>
      </c>
      <c r="E22" s="3">
        <f>RTD("wdf.rtq", ,E1, "rt_auctionChg","RT_Price")</f>
        <v>-1.0100000000000001E-2</v>
      </c>
      <c r="F22" s="3">
        <f>RTD("wdf.rtq", ,F1, "rt_auctionChg","RT_Price")</f>
        <v>-0.02</v>
      </c>
      <c r="G22" s="3">
        <f>RTD("wdf.rtq", ,G1, "rt_auctionChg","RT_Price")</f>
        <v>-1.4100000000000001E-2</v>
      </c>
      <c r="H22" s="3">
        <f>RTD("wdf.rtq", ,H1, "rt_auctionChg","RT_Price")</f>
        <v>-2.7900000000000001E-2</v>
      </c>
      <c r="I22" s="3">
        <f>RTD("wdf.rtq", ,I1, "rt_auctionChg","RT_Price")</f>
        <v>-0.01</v>
      </c>
    </row>
    <row r="23" spans="1:9" x14ac:dyDescent="0.25">
      <c r="A23" s="1" t="s">
        <v>32</v>
      </c>
      <c r="B23" s="3">
        <f>RTD("wdf.rtq", ,B1, "rt_mf_ratio","RT_Price")</f>
        <v>0.80100000000000005</v>
      </c>
      <c r="C23" s="3">
        <f>RTD("wdf.rtq", ,C1, "rt_mf_ratio","RT_Price")</f>
        <v>-5.62E-2</v>
      </c>
      <c r="D23" s="3">
        <f>RTD("wdf.rtq", ,D1, "rt_mf_ratio","RT_Price")</f>
        <v>-0.29050000000000004</v>
      </c>
      <c r="E23" s="3">
        <f>RTD("wdf.rtq", ,E1, "rt_mf_ratio","RT_Price")</f>
        <v>0.25900000000000001</v>
      </c>
      <c r="F23" s="3">
        <f>RTD("wdf.rtq", ,F1, "rt_mf_ratio","RT_Price")</f>
        <v>-3.6000000000000004E-2</v>
      </c>
      <c r="G23" s="3">
        <f>RTD("wdf.rtq", ,G1, "rt_mf_ratio","RT_Price")</f>
        <v>-5.67E-2</v>
      </c>
      <c r="H23" s="3">
        <f>RTD("wdf.rtq", ,H1, "rt_mf_ratio","RT_Price")</f>
        <v>-8.6699999999999999E-2</v>
      </c>
      <c r="I23" s="3">
        <f>RTD("wdf.rtq", ,I1, "rt_mf_ratio","RT_Price")</f>
        <v>0.30360000000000004</v>
      </c>
    </row>
    <row r="24" spans="1:9" x14ac:dyDescent="0.25">
      <c r="A24" s="1" t="s">
        <v>33</v>
      </c>
      <c r="B24" s="3">
        <f>RTD("wdf.rtq", ,B1, "rt_mf_ratio_5d","RT_Price")</f>
        <v>1.0347999999999999</v>
      </c>
      <c r="C24" s="3">
        <f>RTD("wdf.rtq", ,C1, "rt_mf_ratio_5d","RT_Price")</f>
        <v>-0.68820000000000003</v>
      </c>
      <c r="D24" s="3">
        <f>RTD("wdf.rtq", ,D1, "rt_mf_ratio_5d","RT_Price")</f>
        <v>-3.4149000000000003</v>
      </c>
      <c r="E24" s="3">
        <f>RTD("wdf.rtq", ,E1, "rt_mf_ratio_5d","RT_Price")</f>
        <v>-5.8100000000000006E-2</v>
      </c>
      <c r="F24" s="3">
        <f>RTD("wdf.rtq", ,F1, "rt_mf_ratio_5d","RT_Price")</f>
        <v>0.15340000000000001</v>
      </c>
      <c r="G24" s="3">
        <f>RTD("wdf.rtq", ,G1, "rt_mf_ratio_5d","RT_Price")</f>
        <v>1.4703000000000002</v>
      </c>
      <c r="H24" s="3">
        <f>RTD("wdf.rtq", ,H1, "rt_mf_ratio_5d","RT_Price")</f>
        <v>1.6101000000000001</v>
      </c>
      <c r="I24" s="3">
        <f>RTD("wdf.rtq", ,I1, "rt_mf_ratio_5d","RT_Price")</f>
        <v>-1.4362000000000001</v>
      </c>
    </row>
    <row r="25" spans="1:9" x14ac:dyDescent="0.25">
      <c r="A25" s="1" t="s">
        <v>34</v>
      </c>
      <c r="B25" s="3">
        <f>RTD("wdf.rtq", ,B1, "rt_mf_ratio_10d","RT_Price")</f>
        <v>1.1506000000000001</v>
      </c>
      <c r="C25" s="3">
        <f>RTD("wdf.rtq", ,C1, "rt_mf_ratio_10d","RT_Price")</f>
        <v>0.31659999999999999</v>
      </c>
      <c r="D25" s="3">
        <f>RTD("wdf.rtq", ,D1, "rt_mf_ratio_10d","RT_Price")</f>
        <v>-3.0677000000000003</v>
      </c>
      <c r="E25" s="3">
        <f>RTD("wdf.rtq", ,E1, "rt_mf_ratio_10d","RT_Price")</f>
        <v>-3.27E-2</v>
      </c>
      <c r="F25" s="3">
        <f>RTD("wdf.rtq", ,F1, "rt_mf_ratio_10d","RT_Price")</f>
        <v>-1.675</v>
      </c>
      <c r="G25" s="3">
        <f>RTD("wdf.rtq", ,G1, "rt_mf_ratio_10d","RT_Price")</f>
        <v>1.5207000000000002</v>
      </c>
      <c r="H25" s="3">
        <f>RTD("wdf.rtq", ,H1, "rt_mf_ratio_10d","RT_Price")</f>
        <v>5.5438000000000001</v>
      </c>
      <c r="I25" s="3">
        <f>RTD("wdf.rtq", ,I1, "rt_mf_ratio_10d","RT_Price")</f>
        <v>1.212</v>
      </c>
    </row>
    <row r="26" spans="1:9" x14ac:dyDescent="0.25">
      <c r="A26" s="1" t="s">
        <v>35</v>
      </c>
      <c r="B26" s="3">
        <f>RTD("wdf.rtq", ,B1, "rt_bidvol","RT_Price")</f>
        <v>0</v>
      </c>
      <c r="C26" s="3">
        <f>RTD("wdf.rtq", ,C1, "rt_bidvol","RT_Price")</f>
        <v>0</v>
      </c>
      <c r="D26" s="3">
        <f>RTD("wdf.rtq", ,D1, "rt_bidvol","RT_Price")</f>
        <v>0</v>
      </c>
      <c r="E26" s="3">
        <f>RTD("wdf.rtq", ,E1, "rt_bidvol","RT_Price")</f>
        <v>0</v>
      </c>
      <c r="F26" s="3">
        <f>RTD("wdf.rtq", ,F1, "rt_bidvol","RT_Price")</f>
        <v>0</v>
      </c>
      <c r="G26" s="3">
        <f>RTD("wdf.rtq", ,G1, "rt_bidvol","RT_Price")</f>
        <v>0</v>
      </c>
      <c r="H26" s="3">
        <f>RTD("wdf.rtq", ,H1, "rt_bidvol","RT_Price")</f>
        <v>0</v>
      </c>
      <c r="I26" s="3">
        <f>RTD("wdf.rtq", ,I1, "rt_bidvol","RT_Price")</f>
        <v>0</v>
      </c>
    </row>
    <row r="27" spans="1:9" x14ac:dyDescent="0.25">
      <c r="A27" s="1" t="s">
        <v>36</v>
      </c>
      <c r="B27" s="3">
        <f>RTD("wdf.rtq", ,B1, "rt_askvol","RT_Price")</f>
        <v>0</v>
      </c>
      <c r="C27" s="3">
        <f>RTD("wdf.rtq", ,C1, "rt_askvol","RT_Price")</f>
        <v>0</v>
      </c>
      <c r="D27" s="3">
        <f>RTD("wdf.rtq", ,D1, "rt_askvol","RT_Price")</f>
        <v>0</v>
      </c>
      <c r="E27" s="3">
        <f>RTD("wdf.rtq", ,E1, "rt_askvol","RT_Price")</f>
        <v>0</v>
      </c>
      <c r="F27" s="3">
        <f>RTD("wdf.rtq", ,F1, "rt_askvol","RT_Price")</f>
        <v>0</v>
      </c>
      <c r="G27" s="3">
        <f>RTD("wdf.rtq", ,G1, "rt_askvol","RT_Price")</f>
        <v>0</v>
      </c>
      <c r="H27" s="3">
        <f>RTD("wdf.rtq", ,H1, "rt_askvol","RT_Price")</f>
        <v>0</v>
      </c>
      <c r="I27" s="3">
        <f>RTD("wdf.rtq", ,I1, "rt_askvol","RT_Price")</f>
        <v>0</v>
      </c>
    </row>
    <row r="28" spans="1:9" x14ac:dyDescent="0.25">
      <c r="A28" s="1" t="s">
        <v>37</v>
      </c>
      <c r="B28" s="3">
        <f>RTD("wdf.rtq", ,B1, "rt_mf_amt","RT_Price")</f>
        <v>4346141315</v>
      </c>
      <c r="C28" s="3">
        <f>RTD("wdf.rtq", ,C1, "rt_mf_amt","RT_Price")</f>
        <v>-187808895</v>
      </c>
      <c r="D28" s="3">
        <f>RTD("wdf.rtq", ,D1, "rt_mf_amt","RT_Price")</f>
        <v>-55791271</v>
      </c>
      <c r="E28" s="3">
        <f>RTD("wdf.rtq", ,E1, "rt_mf_amt","RT_Price")</f>
        <v>432669346</v>
      </c>
      <c r="F28" s="3">
        <f>RTD("wdf.rtq", ,F1, "rt_mf_amt","RT_Price")</f>
        <v>-66290239</v>
      </c>
      <c r="G28" s="3">
        <f>RTD("wdf.rtq", ,G1, "rt_mf_amt","RT_Price")</f>
        <v>-5640611</v>
      </c>
      <c r="H28" s="3">
        <f>RTD("wdf.rtq", ,H1, "rt_mf_amt","RT_Price")</f>
        <v>-34740426</v>
      </c>
      <c r="I28" s="3">
        <f>RTD("wdf.rtq", ,I1, "rt_mf_amt","RT_Price")</f>
        <v>257242084</v>
      </c>
    </row>
    <row r="29" spans="1:9" x14ac:dyDescent="0.25">
      <c r="A29" s="1" t="s">
        <v>38</v>
      </c>
      <c r="B29" s="3">
        <f>RTD("wdf.rtq", ,B1, "rt_mf_amt_5d","RT_Price")</f>
        <v>5592300630</v>
      </c>
      <c r="C29" s="3">
        <f>RTD("wdf.rtq", ,C1, "rt_mf_amt_5d","RT_Price")</f>
        <v>-2379353801</v>
      </c>
      <c r="D29" s="3">
        <f>RTD("wdf.rtq", ,D1, "rt_mf_amt_5d","RT_Price")</f>
        <v>-675126188</v>
      </c>
      <c r="E29" s="3">
        <f>RTD("wdf.rtq", ,E1, "rt_mf_amt_5d","RT_Price")</f>
        <v>-76081895</v>
      </c>
      <c r="F29" s="3">
        <f>RTD("wdf.rtq", ,F1, "rt_mf_amt_5d","RT_Price")</f>
        <v>645369836</v>
      </c>
      <c r="G29" s="3">
        <f>RTD("wdf.rtq", ,G1, "rt_mf_amt_5d","RT_Price")</f>
        <v>140624033</v>
      </c>
      <c r="H29" s="3">
        <f>RTD("wdf.rtq", ,H1, "rt_mf_amt_5d","RT_Price")</f>
        <v>688477245</v>
      </c>
      <c r="I29" s="3">
        <f>RTD("wdf.rtq", ,I1, "rt_mf_amt_5d","RT_Price")</f>
        <v>-1160855869</v>
      </c>
    </row>
    <row r="30" spans="1:9" x14ac:dyDescent="0.25">
      <c r="A30" s="1" t="s">
        <v>39</v>
      </c>
      <c r="B30" s="3">
        <f>RTD("wdf.rtq", ,B1, "rt_insti_vip_netinflow_ratio","RT_Price")</f>
        <v>0.80100000000000005</v>
      </c>
      <c r="C30" s="3">
        <f>RTD("wdf.rtq", ,C1, "rt_insti_vip_netinflow_ratio","RT_Price")</f>
        <v>-5.62E-2</v>
      </c>
      <c r="D30" s="3">
        <f>RTD("wdf.rtq", ,D1, "rt_insti_vip_netinflow_ratio","RT_Price")</f>
        <v>-0.29050000000000004</v>
      </c>
      <c r="E30" s="3">
        <f>RTD("wdf.rtq", ,E1, "rt_insti_vip_netinflow_ratio","RT_Price")</f>
        <v>0.25900000000000001</v>
      </c>
      <c r="F30" s="3">
        <f>RTD("wdf.rtq", ,F1, "rt_insti_vip_netinflow_ratio","RT_Price")</f>
        <v>-3.6000000000000004E-2</v>
      </c>
      <c r="G30" s="3">
        <f>RTD("wdf.rtq", ,G1, "rt_insti_vip_netinflow_ratio","RT_Price")</f>
        <v>-5.67E-2</v>
      </c>
      <c r="H30" s="3">
        <f>RTD("wdf.rtq", ,H1, "rt_insti_vip_netinflow_ratio","RT_Price")</f>
        <v>-8.6699999999999999E-2</v>
      </c>
      <c r="I30" s="3">
        <f>RTD("wdf.rtq", ,I1, "rt_insti_vip_netinflow_ratio","RT_Price")</f>
        <v>0.30360000000000004</v>
      </c>
    </row>
    <row r="31" spans="1:9" x14ac:dyDescent="0.25">
      <c r="A31" s="1" t="s">
        <v>40</v>
      </c>
      <c r="B31" s="3">
        <f>RTD("wdf.rtq", ,B1, "rt_insti_buy_vol","RT_Price")</f>
        <v>196350113</v>
      </c>
      <c r="C31" s="3">
        <f>RTD("wdf.rtq", ,C1, "rt_insti_buy_vol","RT_Price")</f>
        <v>16833470</v>
      </c>
      <c r="D31" s="3">
        <f>RTD("wdf.rtq", ,D1, "rt_insti_buy_vol","RT_Price")</f>
        <v>2759229</v>
      </c>
      <c r="E31" s="3">
        <f>RTD("wdf.rtq", ,E1, "rt_insti_buy_vol","RT_Price")</f>
        <v>14523504</v>
      </c>
      <c r="F31" s="3">
        <f>RTD("wdf.rtq", ,F1, "rt_insti_buy_vol","RT_Price")</f>
        <v>58024569</v>
      </c>
      <c r="G31" s="3">
        <f>RTD("wdf.rtq", ,G1, "rt_insti_buy_vol","RT_Price")</f>
        <v>137800</v>
      </c>
      <c r="H31" s="3">
        <f>RTD("wdf.rtq", ,H1, "rt_insti_buy_vol","RT_Price")</f>
        <v>43419382</v>
      </c>
      <c r="I31" s="3">
        <f>RTD("wdf.rtq", ,I1, "rt_insti_buy_vol","RT_Price")</f>
        <v>33669710</v>
      </c>
    </row>
    <row r="32" spans="1:9" x14ac:dyDescent="0.25">
      <c r="A32" s="1" t="s">
        <v>41</v>
      </c>
      <c r="B32" s="3">
        <f>RTD("wdf.rtq", ,B1, "rt_insti_sell_vol","RT_Price")</f>
        <v>133099059</v>
      </c>
      <c r="C32" s="3">
        <f>RTD("wdf.rtq", ,C1, "rt_insti_sell_vol","RT_Price")</f>
        <v>17724833</v>
      </c>
      <c r="D32" s="3">
        <f>RTD("wdf.rtq", ,D1, "rt_insti_sell_vol","RT_Price")</f>
        <v>1361619</v>
      </c>
      <c r="E32" s="3">
        <f>RTD("wdf.rtq", ,E1, "rt_insti_sell_vol","RT_Price")</f>
        <v>11927091</v>
      </c>
      <c r="F32" s="3">
        <f>RTD("wdf.rtq", ,F1, "rt_insti_sell_vol","RT_Price")</f>
        <v>57831839</v>
      </c>
      <c r="G32" s="3">
        <f>RTD("wdf.rtq", ,G1, "rt_insti_sell_vol","RT_Price")</f>
        <v>158800</v>
      </c>
      <c r="H32" s="3">
        <f>RTD("wdf.rtq", ,H1, "rt_insti_sell_vol","RT_Price")</f>
        <v>44211602</v>
      </c>
      <c r="I32" s="3">
        <f>RTD("wdf.rtq", ,I1, "rt_insti_sell_vol","RT_Price")</f>
        <v>32952585</v>
      </c>
    </row>
    <row r="33" spans="1:9" x14ac:dyDescent="0.25">
      <c r="A33" s="1" t="s">
        <v>42</v>
      </c>
      <c r="B33" s="3">
        <f>RTD("wdf.rtq", ,B1, "rt_vip_buy_vol","RT_Price")</f>
        <v>20064291</v>
      </c>
      <c r="C33" s="3">
        <f>RTD("wdf.rtq", ,C1, "rt_vip_buy_vol","RT_Price")</f>
        <v>8043005</v>
      </c>
      <c r="D33" s="3">
        <f>RTD("wdf.rtq", ,D1, "rt_vip_buy_vol","RT_Price")</f>
        <v>7617036</v>
      </c>
      <c r="E33" s="3">
        <f>RTD("wdf.rtq", ,E1, "rt_vip_buy_vol","RT_Price")</f>
        <v>10157399</v>
      </c>
      <c r="F33" s="3">
        <f>RTD("wdf.rtq", ,F1, "rt_vip_buy_vol","RT_Price")</f>
        <v>14610146</v>
      </c>
      <c r="G33" s="3">
        <f>RTD("wdf.rtq", ,G1, "rt_vip_buy_vol","RT_Price")</f>
        <v>1356474</v>
      </c>
      <c r="H33" s="3">
        <f>RTD("wdf.rtq", ,H1, "rt_vip_buy_vol","RT_Price")</f>
        <v>19972317</v>
      </c>
      <c r="I33" s="3">
        <f>RTD("wdf.rtq", ,I1, "rt_vip_buy_vol","RT_Price")</f>
        <v>22581923</v>
      </c>
    </row>
    <row r="34" spans="1:9" x14ac:dyDescent="0.25">
      <c r="A34" s="1" t="s">
        <v>43</v>
      </c>
      <c r="B34" s="3">
        <f>RTD("wdf.rtq", ,B1, "rt_vip_sell_vol","RT_Price")</f>
        <v>24826489</v>
      </c>
      <c r="C34" s="3">
        <f>RTD("wdf.rtq", ,C1, "rt_vip_sell_vol","RT_Price")</f>
        <v>7930980</v>
      </c>
      <c r="D34" s="3">
        <f>RTD("wdf.rtq", ,D1, "rt_vip_sell_vol","RT_Price")</f>
        <v>11221788</v>
      </c>
      <c r="E34" s="3">
        <f>RTD("wdf.rtq", ,E1, "rt_vip_sell_vol","RT_Price")</f>
        <v>10151355</v>
      </c>
      <c r="F34" s="3">
        <f>RTD("wdf.rtq", ,F1, "rt_vip_sell_vol","RT_Price")</f>
        <v>15684115</v>
      </c>
      <c r="G34" s="3">
        <f>RTD("wdf.rtq", ,G1, "rt_vip_sell_vol","RT_Price")</f>
        <v>1489700</v>
      </c>
      <c r="H34" s="3">
        <f>RTD("wdf.rtq", ,H1, "rt_vip_sell_vol","RT_Price")</f>
        <v>19913797</v>
      </c>
      <c r="I34" s="3">
        <f>RTD("wdf.rtq", ,I1, "rt_vip_sell_vol","RT_Price")</f>
        <v>19786142</v>
      </c>
    </row>
    <row r="35" spans="1:9" x14ac:dyDescent="0.25">
      <c r="A35" s="1" t="s">
        <v>44</v>
      </c>
      <c r="B35" s="3">
        <f>RTD("wdf.rtq", ,B1, "rt_mid_buy_vol","RT_Price")</f>
        <v>246666</v>
      </c>
      <c r="C35" s="3">
        <f>RTD("wdf.rtq", ,C1, "rt_mid_buy_vol","RT_Price")</f>
        <v>330462</v>
      </c>
      <c r="D35" s="3">
        <f>RTD("wdf.rtq", ,D1, "rt_mid_buy_vol","RT_Price")</f>
        <v>7262821</v>
      </c>
      <c r="E35" s="3">
        <f>RTD("wdf.rtq", ,E1, "rt_mid_buy_vol","RT_Price")</f>
        <v>1256478</v>
      </c>
      <c r="F35" s="3">
        <f>RTD("wdf.rtq", ,F1, "rt_mid_buy_vol","RT_Price")</f>
        <v>607640</v>
      </c>
      <c r="G35" s="3">
        <f>RTD("wdf.rtq", ,G1, "rt_mid_buy_vol","RT_Price")</f>
        <v>1549600</v>
      </c>
      <c r="H35" s="3">
        <f>RTD("wdf.rtq", ,H1, "rt_mid_buy_vol","RT_Price")</f>
        <v>6429163</v>
      </c>
      <c r="I35" s="3">
        <f>RTD("wdf.rtq", ,I1, "rt_mid_buy_vol","RT_Price")</f>
        <v>3820266</v>
      </c>
    </row>
    <row r="36" spans="1:9" x14ac:dyDescent="0.25">
      <c r="A36" s="1" t="s">
        <v>45</v>
      </c>
      <c r="B36" s="3">
        <f>RTD("wdf.rtq", ,B1, "rt_mid_sell_vol","RT_Price")</f>
        <v>199600</v>
      </c>
      <c r="C36" s="3">
        <f>RTD("wdf.rtq", ,C1, "rt_mid_sell_vol","RT_Price")</f>
        <v>328635</v>
      </c>
      <c r="D36" s="3">
        <f>RTD("wdf.rtq", ,D1, "rt_mid_sell_vol","RT_Price")</f>
        <v>7667981</v>
      </c>
      <c r="E36" s="3">
        <f>RTD("wdf.rtq", ,E1, "rt_mid_sell_vol","RT_Price")</f>
        <v>1226211</v>
      </c>
      <c r="F36" s="3">
        <f>RTD("wdf.rtq", ,F1, "rt_mid_sell_vol","RT_Price")</f>
        <v>564409</v>
      </c>
      <c r="G36" s="3">
        <f>RTD("wdf.rtq", ,G1, "rt_mid_sell_vol","RT_Price")</f>
        <v>2111800</v>
      </c>
      <c r="H36" s="3">
        <f>RTD("wdf.rtq", ,H1, "rt_mid_sell_vol","RT_Price")</f>
        <v>4942792</v>
      </c>
      <c r="I36" s="3">
        <f>RTD("wdf.rtq", ,I1, "rt_mid_sell_vol","RT_Price")</f>
        <v>2415194</v>
      </c>
    </row>
    <row r="37" spans="1:9" x14ac:dyDescent="0.25">
      <c r="A37" s="1" t="s">
        <v>46</v>
      </c>
      <c r="B37" s="3">
        <f>RTD("wdf.rtq", ,B1, "rt_indi_buy_vol","RT_Price")</f>
        <v>0</v>
      </c>
      <c r="C37" s="3">
        <f>RTD("wdf.rtq", ,C1, "rt_indi_buy_vol","RT_Price")</f>
        <v>700</v>
      </c>
      <c r="D37" s="3">
        <f>RTD("wdf.rtq", ,D1, "rt_indi_buy_vol","RT_Price")</f>
        <v>1973694</v>
      </c>
      <c r="E37" s="3">
        <f>RTD("wdf.rtq", ,E1, "rt_indi_buy_vol","RT_Price")</f>
        <v>13500</v>
      </c>
      <c r="F37" s="3">
        <f>RTD("wdf.rtq", ,F1, "rt_indi_buy_vol","RT_Price")</f>
        <v>800</v>
      </c>
      <c r="G37" s="3">
        <f>RTD("wdf.rtq", ,G1, "rt_indi_buy_vol","RT_Price")</f>
        <v>968900</v>
      </c>
      <c r="H37" s="3">
        <f>RTD("wdf.rtq", ,H1, "rt_indi_buy_vol","RT_Price")</f>
        <v>308786</v>
      </c>
      <c r="I37" s="3">
        <f>RTD("wdf.rtq", ,I1, "rt_indi_buy_vol","RT_Price")</f>
        <v>48989</v>
      </c>
    </row>
    <row r="38" spans="1:9" x14ac:dyDescent="0.25">
      <c r="A38" s="1" t="s">
        <v>47</v>
      </c>
      <c r="B38" s="3">
        <f>RTD("wdf.rtq", ,B1, "rt_indi_sell_vol","RT_Price")</f>
        <v>0</v>
      </c>
      <c r="C38" s="3">
        <f>RTD("wdf.rtq", ,C1, "rt_indi_sell_vol","RT_Price")</f>
        <v>0</v>
      </c>
      <c r="D38" s="3">
        <f>RTD("wdf.rtq", ,D1, "rt_indi_sell_vol","RT_Price")</f>
        <v>1815072</v>
      </c>
      <c r="E38" s="3">
        <f>RTD("wdf.rtq", ,E1, "rt_indi_sell_vol","RT_Price")</f>
        <v>12400</v>
      </c>
      <c r="F38" s="3">
        <f>RTD("wdf.rtq", ,F1, "rt_indi_sell_vol","RT_Price")</f>
        <v>1000</v>
      </c>
      <c r="G38" s="3">
        <f>RTD("wdf.rtq", ,G1, "rt_indi_sell_vol","RT_Price")</f>
        <v>1196000</v>
      </c>
      <c r="H38" s="3">
        <f>RTD("wdf.rtq", ,H1, "rt_indi_sell_vol","RT_Price")</f>
        <v>185168</v>
      </c>
      <c r="I38" s="3">
        <f>RTD("wdf.rtq", ,I1, "rt_indi_sell_vol","RT_Price")</f>
        <v>35200</v>
      </c>
    </row>
    <row r="39" spans="1:9" x14ac:dyDescent="0.25">
      <c r="A39" s="1" t="s">
        <v>48</v>
      </c>
      <c r="B39" s="3">
        <f>RTD("wdf.rtq", ,B1, "rt_vip_netbuy_vol","RT_Price")</f>
        <v>-4762198</v>
      </c>
      <c r="C39" s="3">
        <f>RTD("wdf.rtq", ,C1, "rt_vip_netbuy_vol","RT_Price")</f>
        <v>112025</v>
      </c>
      <c r="D39" s="3">
        <f>RTD("wdf.rtq", ,D1, "rt_vip_netbuy_vol","RT_Price")</f>
        <v>-3604752</v>
      </c>
      <c r="E39" s="3">
        <f>RTD("wdf.rtq", ,E1, "rt_vip_netbuy_vol","RT_Price")</f>
        <v>6044</v>
      </c>
      <c r="F39" s="3">
        <f>RTD("wdf.rtq", ,F1, "rt_vip_netbuy_vol","RT_Price")</f>
        <v>-1073969</v>
      </c>
      <c r="G39" s="3">
        <f>RTD("wdf.rtq", ,G1, "rt_vip_netbuy_vol","RT_Price")</f>
        <v>-133226</v>
      </c>
      <c r="H39" s="3">
        <f>RTD("wdf.rtq", ,H1, "rt_vip_netbuy_vol","RT_Price")</f>
        <v>58520</v>
      </c>
      <c r="I39" s="3">
        <f>RTD("wdf.rtq", ,I1, "rt_vip_netbuy_vol","RT_Price")</f>
        <v>2795781</v>
      </c>
    </row>
    <row r="40" spans="1:9" x14ac:dyDescent="0.25">
      <c r="A40" s="1" t="s">
        <v>49</v>
      </c>
      <c r="B40" s="3">
        <f>RTD("wdf.rtq", ,B1, "rt_mid_netbuy_vol","RT_Price")</f>
        <v>47066</v>
      </c>
      <c r="C40" s="3">
        <f>RTD("wdf.rtq", ,C1, "rt_mid_netbuy_vol","RT_Price")</f>
        <v>1827</v>
      </c>
      <c r="D40" s="3">
        <f>RTD("wdf.rtq", ,D1, "rt_mid_netbuy_vol","RT_Price")</f>
        <v>-405160</v>
      </c>
      <c r="E40" s="3">
        <f>RTD("wdf.rtq", ,E1, "rt_mid_netbuy_vol","RT_Price")</f>
        <v>30267</v>
      </c>
      <c r="F40" s="3">
        <f>RTD("wdf.rtq", ,F1, "rt_mid_netbuy_vol","RT_Price")</f>
        <v>43231</v>
      </c>
      <c r="G40" s="3">
        <f>RTD("wdf.rtq", ,G1, "rt_mid_netbuy_vol","RT_Price")</f>
        <v>-562200</v>
      </c>
      <c r="H40" s="3">
        <f>RTD("wdf.rtq", ,H1, "rt_mid_netbuy_vol","RT_Price")</f>
        <v>1486371</v>
      </c>
      <c r="I40" s="3">
        <f>RTD("wdf.rtq", ,I1, "rt_mid_netbuy_vol","RT_Price")</f>
        <v>1405072</v>
      </c>
    </row>
    <row r="41" spans="1:9" x14ac:dyDescent="0.25">
      <c r="A41" s="1" t="s">
        <v>50</v>
      </c>
      <c r="B41" s="3">
        <f>RTD("wdf.rtq", ,B1, "rt_indi_netbuy_vol","RT_Price")</f>
        <v>0</v>
      </c>
      <c r="C41" s="3">
        <f>RTD("wdf.rtq", ,C1, "rt_indi_netbuy_vol","RT_Price")</f>
        <v>700</v>
      </c>
      <c r="D41" s="3">
        <f>RTD("wdf.rtq", ,D1, "rt_indi_netbuy_vol","RT_Price")</f>
        <v>158622</v>
      </c>
      <c r="E41" s="3">
        <f>RTD("wdf.rtq", ,E1, "rt_indi_netbuy_vol","RT_Price")</f>
        <v>1100</v>
      </c>
      <c r="F41" s="3">
        <f>RTD("wdf.rtq", ,F1, "rt_indi_netbuy_vol","RT_Price")</f>
        <v>-200</v>
      </c>
      <c r="G41" s="3">
        <f>RTD("wdf.rtq", ,G1, "rt_indi_netbuy_vol","RT_Price")</f>
        <v>-227100</v>
      </c>
      <c r="H41" s="3">
        <f>RTD("wdf.rtq", ,H1, "rt_indi_netbuy_vol","RT_Price")</f>
        <v>123618</v>
      </c>
      <c r="I41" s="3">
        <f>RTD("wdf.rtq", ,I1, "rt_indi_netbuy_vol","RT_Price")</f>
        <v>13789</v>
      </c>
    </row>
    <row r="42" spans="1:9" x14ac:dyDescent="0.25">
      <c r="A42" s="1" t="s">
        <v>51</v>
      </c>
      <c r="B42" s="3">
        <f>RTD("wdf.rtq", ,B1, "rt_insti_inflow","RT_Price")</f>
        <v>4698939402</v>
      </c>
      <c r="C42" s="3">
        <f>RTD("wdf.rtq", ,C1, "rt_insti_inflow","RT_Price")</f>
        <v>-217064298</v>
      </c>
      <c r="D42" s="3">
        <f>RTD("wdf.rtq", ,D1, "rt_insti_inflow","RT_Price")</f>
        <v>35930383</v>
      </c>
      <c r="E42" s="3">
        <f>RTD("wdf.rtq", ,E1, "rt_insti_inflow","RT_Price")</f>
        <v>431778474</v>
      </c>
      <c r="F42" s="3">
        <f>RTD("wdf.rtq", ,F1, "rt_insti_inflow","RT_Price")</f>
        <v>59834217</v>
      </c>
      <c r="G42" s="3">
        <f>RTD("wdf.rtq", ,G1, "rt_insti_inflow","RT_Price")</f>
        <v>-879300</v>
      </c>
      <c r="H42" s="3">
        <f>RTD("wdf.rtq", ,H1, "rt_insti_inflow","RT_Price")</f>
        <v>-40425201</v>
      </c>
      <c r="I42" s="3">
        <f>RTD("wdf.rtq", ,I1, "rt_insti_inflow","RT_Price")</f>
        <v>57167552</v>
      </c>
    </row>
    <row r="43" spans="1:9" x14ac:dyDescent="0.25">
      <c r="A43" s="1" t="s">
        <v>52</v>
      </c>
      <c r="B43" s="3">
        <f>RTD("wdf.rtq", ,B1, "rt_vip_inflow","RT_Price")</f>
        <v>-352798087</v>
      </c>
      <c r="C43" s="3">
        <f>RTD("wdf.rtq", ,C1, "rt_vip_inflow","RT_Price")</f>
        <v>29255403</v>
      </c>
      <c r="D43" s="3">
        <f>RTD("wdf.rtq", ,D1, "rt_vip_inflow","RT_Price")</f>
        <v>-91721654</v>
      </c>
      <c r="E43" s="3">
        <f>RTD("wdf.rtq", ,E1, "rt_vip_inflow","RT_Price")</f>
        <v>890872</v>
      </c>
      <c r="F43" s="3">
        <f>RTD("wdf.rtq", ,F1, "rt_vip_inflow","RT_Price")</f>
        <v>-126124455</v>
      </c>
      <c r="G43" s="3">
        <f>RTD("wdf.rtq", ,G1, "rt_vip_inflow","RT_Price")</f>
        <v>-4761311</v>
      </c>
      <c r="H43" s="3">
        <f>RTD("wdf.rtq", ,H1, "rt_vip_inflow","RT_Price")</f>
        <v>5684775</v>
      </c>
      <c r="I43" s="3">
        <f>RTD("wdf.rtq", ,I1, "rt_vip_inflow","RT_Price")</f>
        <v>200074532</v>
      </c>
    </row>
    <row r="44" spans="1:9" x14ac:dyDescent="0.25">
      <c r="A44" s="1" t="s">
        <v>53</v>
      </c>
      <c r="B44" s="3">
        <f>RTD("wdf.rtq", ,B1, "rt_mid_inflow","RT_Price")</f>
        <v>3358656</v>
      </c>
      <c r="C44" s="3">
        <f>RTD("wdf.rtq", ,C1, "rt_mid_inflow","RT_Price")</f>
        <v>395214</v>
      </c>
      <c r="D44" s="3">
        <f>RTD("wdf.rtq", ,D1, "rt_mid_inflow","RT_Price")</f>
        <v>-10134523</v>
      </c>
      <c r="E44" s="3">
        <f>RTD("wdf.rtq", ,E1, "rt_mid_inflow","RT_Price")</f>
        <v>4914255</v>
      </c>
      <c r="F44" s="3">
        <f>RTD("wdf.rtq", ,F1, "rt_mid_inflow","RT_Price")</f>
        <v>4794497</v>
      </c>
      <c r="G44" s="3">
        <f>RTD("wdf.rtq", ,G1, "rt_mid_inflow","RT_Price")</f>
        <v>-20311872</v>
      </c>
      <c r="H44" s="3">
        <f>RTD("wdf.rtq", ,H1, "rt_mid_inflow","RT_Price")</f>
        <v>76616106</v>
      </c>
      <c r="I44" s="3">
        <f>RTD("wdf.rtq", ,I1, "rt_mid_inflow","RT_Price")</f>
        <v>100160035</v>
      </c>
    </row>
    <row r="45" spans="1:9" x14ac:dyDescent="0.25">
      <c r="A45" s="1" t="s">
        <v>54</v>
      </c>
      <c r="B45" s="3">
        <f>RTD("wdf.rtq", ,B1, "rt_indi_inflow","RT_Price")</f>
        <v>0</v>
      </c>
      <c r="C45" s="3">
        <f>RTD("wdf.rtq", ,C1, "rt_indi_inflow","RT_Price")</f>
        <v>179702</v>
      </c>
      <c r="D45" s="3">
        <f>RTD("wdf.rtq", ,D1, "rt_indi_inflow","RT_Price")</f>
        <v>4089480</v>
      </c>
      <c r="E45" s="3">
        <f>RTD("wdf.rtq", ,E1, "rt_indi_inflow","RT_Price")</f>
        <v>178000</v>
      </c>
      <c r="F45" s="3">
        <f>RTD("wdf.rtq", ,F1, "rt_indi_inflow","RT_Price")</f>
        <v>-24264</v>
      </c>
      <c r="G45" s="3">
        <f>RTD("wdf.rtq", ,G1, "rt_indi_inflow","RT_Price")</f>
        <v>-8184463</v>
      </c>
      <c r="H45" s="3">
        <f>RTD("wdf.rtq", ,H1, "rt_indi_inflow","RT_Price")</f>
        <v>6380351</v>
      </c>
      <c r="I45" s="3">
        <f>RTD("wdf.rtq", ,I1, "rt_indi_inflow","RT_Price")</f>
        <v>978101</v>
      </c>
    </row>
    <row r="46" spans="1:9" x14ac:dyDescent="0.25">
      <c r="A46" s="1" t="s">
        <v>55</v>
      </c>
      <c r="B46" s="3">
        <f>RTD("wdf.rtq", ,B1, "rt_insti_buy_amt","RT_Price")</f>
        <v>14338785425</v>
      </c>
      <c r="C46" s="3">
        <f>RTD("wdf.rtq", ,C1, "rt_insti_buy_amt","RT_Price")</f>
        <v>4322671297</v>
      </c>
      <c r="D46" s="3">
        <f>RTD("wdf.rtq", ,D1, "rt_insti_buy_amt","RT_Price")</f>
        <v>70777677</v>
      </c>
      <c r="E46" s="3">
        <f>RTD("wdf.rtq", ,E1, "rt_insti_buy_amt","RT_Price")</f>
        <v>2401434468</v>
      </c>
      <c r="F46" s="3">
        <f>RTD("wdf.rtq", ,F1, "rt_insti_buy_amt","RT_Price")</f>
        <v>6835222424</v>
      </c>
      <c r="G46" s="3">
        <f>RTD("wdf.rtq", ,G1, "rt_insti_buy_amt","RT_Price")</f>
        <v>4988360</v>
      </c>
      <c r="H46" s="3">
        <f>RTD("wdf.rtq", ,H1, "rt_insti_buy_amt","RT_Price")</f>
        <v>2106550004</v>
      </c>
      <c r="I46" s="3">
        <f>RTD("wdf.rtq", ,I1, "rt_insti_buy_amt","RT_Price")</f>
        <v>2410243554</v>
      </c>
    </row>
    <row r="47" spans="1:9" x14ac:dyDescent="0.25">
      <c r="A47" s="1" t="s">
        <v>56</v>
      </c>
      <c r="B47" s="3">
        <f>RTD("wdf.rtq", ,B1, "rt_insti_sell_amt","RT_Price")</f>
        <v>9639846023</v>
      </c>
      <c r="C47" s="3">
        <f>RTD("wdf.rtq", ,C1, "rt_insti_sell_amt","RT_Price")</f>
        <v>4539735595</v>
      </c>
      <c r="D47" s="3">
        <f>RTD("wdf.rtq", ,D1, "rt_insti_sell_amt","RT_Price")</f>
        <v>34847294</v>
      </c>
      <c r="E47" s="3">
        <f>RTD("wdf.rtq", ,E1, "rt_insti_sell_amt","RT_Price")</f>
        <v>1969655994</v>
      </c>
      <c r="F47" s="3">
        <f>RTD("wdf.rtq", ,F1, "rt_insti_sell_amt","RT_Price")</f>
        <v>6775388208</v>
      </c>
      <c r="G47" s="3">
        <f>RTD("wdf.rtq", ,G1, "rt_insti_sell_amt","RT_Price")</f>
        <v>5867660</v>
      </c>
      <c r="H47" s="3">
        <f>RTD("wdf.rtq", ,H1, "rt_insti_sell_amt","RT_Price")</f>
        <v>2146975205</v>
      </c>
      <c r="I47" s="3">
        <f>RTD("wdf.rtq", ,I1, "rt_insti_sell_amt","RT_Price")</f>
        <v>2353076003</v>
      </c>
    </row>
    <row r="48" spans="1:9" x14ac:dyDescent="0.25">
      <c r="A48" s="1" t="s">
        <v>57</v>
      </c>
      <c r="B48" s="3">
        <f>RTD("wdf.rtq", ,B1, "rt_insti_activebuy_amt","RT_Price")</f>
        <v>14338785425</v>
      </c>
      <c r="C48" s="3">
        <f>RTD("wdf.rtq", ,C1, "rt_insti_activebuy_amt","RT_Price")</f>
        <v>4322671297</v>
      </c>
      <c r="D48" s="3">
        <f>RTD("wdf.rtq", ,D1, "rt_insti_activebuy_amt","RT_Price")</f>
        <v>70777677</v>
      </c>
      <c r="E48" s="3">
        <f>RTD("wdf.rtq", ,E1, "rt_insti_activebuy_amt","RT_Price")</f>
        <v>2401434468</v>
      </c>
      <c r="F48" s="3">
        <f>RTD("wdf.rtq", ,F1, "rt_insti_activebuy_amt","RT_Price")</f>
        <v>6835222424</v>
      </c>
      <c r="G48" s="3">
        <f>RTD("wdf.rtq", ,G1, "rt_insti_activebuy_amt","RT_Price")</f>
        <v>4988360</v>
      </c>
      <c r="H48" s="3">
        <f>RTD("wdf.rtq", ,H1, "rt_insti_activebuy_amt","RT_Price")</f>
        <v>2106550004</v>
      </c>
      <c r="I48" s="3">
        <f>RTD("wdf.rtq", ,I1, "rt_insti_activebuy_amt","RT_Price")</f>
        <v>2410243554</v>
      </c>
    </row>
    <row r="49" spans="1:9" x14ac:dyDescent="0.25">
      <c r="A49" s="1" t="s">
        <v>58</v>
      </c>
      <c r="B49" s="3">
        <f>RTD("wdf.rtq", ,B1, "rt_vip_activebuy_amt","RT_Price")</f>
        <v>1463156233</v>
      </c>
      <c r="C49" s="3">
        <f>RTD("wdf.rtq", ,C1, "rt_vip_activebuy_amt","RT_Price")</f>
        <v>2064401820</v>
      </c>
      <c r="D49" s="3">
        <f>RTD("wdf.rtq", ,D1, "rt_vip_activebuy_amt","RT_Price")</f>
        <v>195971171</v>
      </c>
      <c r="E49" s="3">
        <f>RTD("wdf.rtq", ,E1, "rt_vip_activebuy_amt","RT_Price")</f>
        <v>1685455704</v>
      </c>
      <c r="F49" s="3">
        <f>RTD("wdf.rtq", ,F1, "rt_vip_activebuy_amt","RT_Price")</f>
        <v>1718108692</v>
      </c>
      <c r="G49" s="3">
        <f>RTD("wdf.rtq", ,G1, "rt_vip_activebuy_amt","RT_Price")</f>
        <v>49703592</v>
      </c>
      <c r="H49" s="3">
        <f>RTD("wdf.rtq", ,H1, "rt_vip_activebuy_amt","RT_Price")</f>
        <v>1001384393</v>
      </c>
      <c r="I49" s="3">
        <f>RTD("wdf.rtq", ,I1, "rt_vip_activebuy_amt","RT_Price")</f>
        <v>1616122624</v>
      </c>
    </row>
    <row r="50" spans="1:9" x14ac:dyDescent="0.25">
      <c r="A50" s="1" t="s">
        <v>59</v>
      </c>
      <c r="B50" s="3">
        <f>RTD("wdf.rtq", ,B1, "rt_activenetin_vol","RT_Price")</f>
        <v>0</v>
      </c>
      <c r="C50" s="3">
        <f>RTD("wdf.rtq", ,C1, "rt_activenetin_vol","RT_Price")</f>
        <v>0</v>
      </c>
      <c r="D50" s="3">
        <f>RTD("wdf.rtq", ,D1, "rt_activenetin_vol","RT_Price")</f>
        <v>0</v>
      </c>
      <c r="E50" s="3">
        <f>RTD("wdf.rtq", ,E1, "rt_activenetin_vol","RT_Price")</f>
        <v>0</v>
      </c>
      <c r="F50" s="3">
        <f>RTD("wdf.rtq", ,F1, "rt_activenetin_vol","RT_Price")</f>
        <v>0</v>
      </c>
      <c r="G50" s="3">
        <f>RTD("wdf.rtq", ,G1, "rt_activenetin_vol","RT_Price")</f>
        <v>0</v>
      </c>
      <c r="H50" s="3">
        <f>RTD("wdf.rtq", ,H1, "rt_activenetin_vol","RT_Price")</f>
        <v>0</v>
      </c>
      <c r="I50" s="3">
        <f>RTD("wdf.rtq", ,I1, "rt_activenetin_vol","RT_Price")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0447-F537-4792-83E1-C5E06638E86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guangguang xia</dc:creator>
  <cp:lastModifiedBy>guangguang xia</cp:lastModifiedBy>
  <dcterms:created xsi:type="dcterms:W3CDTF">2015-06-05T18:19:34Z</dcterms:created>
  <dcterms:modified xsi:type="dcterms:W3CDTF">2026-06-24T06:31:20Z</dcterms:modified>
</cp:coreProperties>
</file>